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6"/>
  <workbookPr defaultThemeVersion="124226"/>
  <mc:AlternateContent xmlns:mc="http://schemas.openxmlformats.org/markup-compatibility/2006">
    <mc:Choice Requires="x15">
      <x15ac:absPath xmlns:x15ac="http://schemas.microsoft.com/office/spreadsheetml/2010/11/ac" url="C:\Users\swara\OneDrive\Desktop\"/>
    </mc:Choice>
  </mc:AlternateContent>
  <xr:revisionPtr revIDLastSave="30" documentId="8_{2D52B98D-D83E-4E7B-8747-8FF4329673B8}" xr6:coauthVersionLast="47" xr6:coauthVersionMax="47" xr10:uidLastSave="{0E80B2D0-A39D-491F-941C-BA4DED8DC1C2}"/>
  <bookViews>
    <workbookView xWindow="-120" yWindow="-120" windowWidth="29040" windowHeight="15720" firstSheet="2" activeTab="2" xr2:uid="{00000000-000D-0000-FFFF-FFFF00000000}"/>
  </bookViews>
  <sheets>
    <sheet name="Information" sheetId="2" r:id="rId1"/>
    <sheet name="Depreciation Calculator" sheetId="1" r:id="rId2"/>
    <sheet name="Advanced Problem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4" l="1"/>
  <c r="C11" i="4"/>
  <c r="C10" i="4"/>
  <c r="C9" i="4"/>
  <c r="C8" i="4"/>
  <c r="D23" i="1"/>
  <c r="C7" i="4"/>
  <c r="D14" i="1"/>
  <c r="C6" i="4"/>
  <c r="D13" i="1"/>
  <c r="C5" i="4"/>
  <c r="D20" i="1"/>
  <c r="D8" i="1"/>
  <c r="D11" i="1" s="1"/>
  <c r="D12" i="1" l="1"/>
  <c r="D26" i="1"/>
  <c r="D15" i="1"/>
  <c r="C26" i="1" l="1"/>
  <c r="D27" i="1" s="1"/>
  <c r="C27" i="1" l="1"/>
  <c r="D28" i="1"/>
  <c r="C28" i="1" l="1"/>
  <c r="D29" i="1"/>
  <c r="C29" i="1" l="1"/>
  <c r="D30" i="1" s="1"/>
  <c r="C30" i="1" l="1"/>
  <c r="D31" i="1"/>
  <c r="C31" i="1" l="1"/>
  <c r="D32" i="1" s="1"/>
  <c r="C32" i="1" l="1"/>
  <c r="D33" i="1" s="1"/>
  <c r="C33" i="1" l="1"/>
  <c r="D34" i="1" s="1"/>
  <c r="C34" i="1" l="1"/>
  <c r="D35" i="1" s="1"/>
  <c r="C35" i="1" l="1"/>
  <c r="D36" i="1" s="1"/>
  <c r="D37" i="1" s="1"/>
  <c r="C37" i="1" s="1"/>
  <c r="D38" i="1" s="1"/>
  <c r="C38" i="1" s="1"/>
  <c r="D39" i="1" s="1"/>
  <c r="C39" i="1" s="1"/>
  <c r="D40" i="1" s="1"/>
  <c r="C40" i="1" s="1"/>
  <c r="D41" i="1" s="1"/>
  <c r="C41" i="1" s="1"/>
  <c r="D42" i="1" s="1"/>
  <c r="C42" i="1" s="1"/>
  <c r="D43" i="1" s="1"/>
  <c r="C43" i="1" s="1"/>
  <c r="D44" i="1" s="1"/>
  <c r="C44" i="1" s="1"/>
  <c r="D45" i="1" s="1"/>
  <c r="C4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MD</author>
  </authors>
  <commentList>
    <comment ref="D9" authorId="0" shapeId="0" xr:uid="{00000000-0006-0000-0100-000001000000}">
      <text>
        <r>
          <rPr>
            <b/>
            <sz val="9"/>
            <color indexed="81"/>
            <rFont val="Tahoma"/>
            <family val="2"/>
          </rPr>
          <t>In case of no scrap value, please put zero value.</t>
        </r>
      </text>
    </comment>
    <comment ref="D15" authorId="1" shapeId="0" xr:uid="{00000000-0006-0000-0100-000002000000}">
      <text>
        <r>
          <rPr>
            <b/>
            <sz val="9"/>
            <color indexed="81"/>
            <rFont val="Tahoma"/>
            <family val="2"/>
          </rPr>
          <t>Accuracy Check - This cell must be zero.</t>
        </r>
      </text>
    </comment>
    <comment ref="D21" authorId="0" shapeId="0" xr:uid="{00000000-0006-0000-0100-000003000000}">
      <text>
        <r>
          <rPr>
            <b/>
            <sz val="9"/>
            <color indexed="81"/>
            <rFont val="Tahoma"/>
            <family val="2"/>
          </rPr>
          <t>In case of diminishing depreciation scrap value cannot be zero</t>
        </r>
      </text>
    </comment>
  </commentList>
</comments>
</file>

<file path=xl/sharedStrings.xml><?xml version="1.0" encoding="utf-8"?>
<sst xmlns="http://schemas.openxmlformats.org/spreadsheetml/2006/main" count="39" uniqueCount="34">
  <si>
    <t>Coachx.live</t>
  </si>
  <si>
    <t>Depreciation Calculator</t>
  </si>
  <si>
    <t>Straight Line Method</t>
  </si>
  <si>
    <t>Asset Cost</t>
  </si>
  <si>
    <t>Additonal Asset Cost</t>
  </si>
  <si>
    <t>Asset Price</t>
  </si>
  <si>
    <t>Scrap Value</t>
  </si>
  <si>
    <t>Estimated Life Span (Years)</t>
  </si>
  <si>
    <t>Depreciation / Year as per Straight Line Method</t>
  </si>
  <si>
    <t>Depreciation Percentage</t>
  </si>
  <si>
    <t>Total Depreciation For Its Life Span</t>
  </si>
  <si>
    <t>Depreciated Book Value After Its Life Span</t>
  </si>
  <si>
    <t>Balance Amount</t>
  </si>
  <si>
    <t>Diminishing Balance Method</t>
  </si>
  <si>
    <t xml:space="preserve">Additonal Asset Cost </t>
  </si>
  <si>
    <t>Rate of Depreciation as per Diminishing Balance Method</t>
  </si>
  <si>
    <t>Depreciation Schedule</t>
  </si>
  <si>
    <t>Year</t>
  </si>
  <si>
    <t>Year on Year Depreciation Amount</t>
  </si>
  <si>
    <t>Book Value</t>
  </si>
  <si>
    <t>Questions</t>
  </si>
  <si>
    <t>Solutions</t>
  </si>
  <si>
    <t>1) Calculate the annual depreciation amount using the straight line method for the given asset.</t>
  </si>
  <si>
    <t>2) Calculate the total depreciation for the asset's entire life span using the straight-line method.</t>
  </si>
  <si>
    <t>3) What is the depreciated book value of the asset after its life span using the straight-line method?</t>
  </si>
  <si>
    <t>4) Calculate the rate of depreciation per year as per the diminishing balance method.</t>
  </si>
  <si>
    <t>5) What is the depreciation amount for the asset in the second year according to the diminishing balance method?</t>
  </si>
  <si>
    <t>6) What is the book value of the asset in the fourth year using the diminishing balance method?</t>
  </si>
  <si>
    <t>7) Calculate the total depreciation for the asset's entire life span using the diminishing balance method.</t>
  </si>
  <si>
    <t>8) What is the book value of the asset after its life span using the diminishing balance method?</t>
  </si>
  <si>
    <t>9) Compare the total depreciation amounts obtained from the straight-line method and the diminishing balance method. Which method results in higher total depreciation?</t>
  </si>
  <si>
    <t>Both Methods are Almost Same</t>
  </si>
  <si>
    <t>10) Prepare an Presentation for above Analysis you made so far along with Visual Graphs representation</t>
  </si>
  <si>
    <t>In PPT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</si>
</sst>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_ ;[Red]\-[$$-409]#,##0.00\ "/>
    <numFmt numFmtId="165" formatCode="[$$-409]#,##0.00"/>
  </numFmts>
  <fonts count="10">
    <font>
      <sz val="11"/>
      <color theme="1"/>
      <name val="Calibri"/>
      <family val="2"/>
      <scheme val="minor"/>
    </font>
    <font>
      <sz val="14"/>
      <color theme="1"/>
      <name val="Times New Roman"/>
      <family val="1"/>
    </font>
    <font>
      <b/>
      <sz val="9"/>
      <color indexed="81"/>
      <name val="Tahoma"/>
      <family val="2"/>
    </font>
    <font>
      <u/>
      <sz val="11"/>
      <color theme="10"/>
      <name val="Calibri"/>
      <family val="2"/>
    </font>
    <font>
      <sz val="14"/>
      <color theme="0"/>
      <name val="Times New Roman"/>
      <family val="1"/>
    </font>
    <font>
      <b/>
      <sz val="20"/>
      <color theme="0"/>
      <name val="Cambria"/>
      <family val="1"/>
      <scheme val="major"/>
    </font>
    <font>
      <b/>
      <sz val="14"/>
      <color theme="0"/>
      <name val="Times New Roman"/>
      <family val="1"/>
    </font>
    <font>
      <u/>
      <sz val="25"/>
      <color rgb="FFFFFF00"/>
      <name val="Lucida Calligraphy"/>
      <family val="4"/>
    </font>
    <font>
      <b/>
      <sz val="20"/>
      <color theme="0"/>
      <name val="Times New Roman"/>
      <family val="1"/>
    </font>
    <font>
      <b/>
      <sz val="18"/>
      <color theme="0"/>
      <name val="Times New Roman"/>
      <family val="1"/>
    </font>
  </fonts>
  <fills count="5">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theme="3" tint="0.39997558519241921"/>
        <bgColor indexed="64"/>
      </patternFill>
    </fill>
  </fills>
  <borders count="7">
    <border>
      <left/>
      <right/>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23">
    <xf numFmtId="0" fontId="0" fillId="0" borderId="0" xfId="0"/>
    <xf numFmtId="0" fontId="1" fillId="0" borderId="0" xfId="0" applyFont="1" applyAlignment="1">
      <alignment horizontal="center" vertical="center"/>
    </xf>
    <xf numFmtId="0" fontId="4"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xf>
    <xf numFmtId="164" fontId="6" fillId="2" borderId="1" xfId="0" applyNumberFormat="1" applyFont="1" applyFill="1" applyBorder="1" applyAlignment="1">
      <alignment horizontal="center" vertical="center"/>
    </xf>
    <xf numFmtId="0" fontId="4" fillId="3" borderId="0" xfId="0" applyFont="1" applyFill="1" applyAlignment="1">
      <alignment horizontal="center" vertical="center"/>
    </xf>
    <xf numFmtId="10" fontId="6"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0" fontId="1" fillId="3" borderId="0" xfId="0" applyFont="1" applyFill="1" applyAlignment="1">
      <alignment horizontal="center" vertical="center"/>
    </xf>
    <xf numFmtId="164" fontId="6"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6" fillId="2" borderId="1" xfId="0" applyFont="1" applyFill="1" applyBorder="1" applyAlignment="1">
      <alignment horizontal="right" vertical="center" wrapText="1" indent="4"/>
    </xf>
    <xf numFmtId="0" fontId="9" fillId="2" borderId="1" xfId="0" applyFont="1" applyFill="1" applyBorder="1" applyAlignment="1">
      <alignment horizontal="center" vertical="center"/>
    </xf>
    <xf numFmtId="0" fontId="6" fillId="2" borderId="1" xfId="0" applyFont="1" applyFill="1" applyBorder="1" applyAlignment="1">
      <alignment horizontal="right" vertical="center" indent="4"/>
    </xf>
    <xf numFmtId="0" fontId="7" fillId="2" borderId="1" xfId="1" applyFont="1" applyFill="1" applyBorder="1" applyAlignment="1" applyProtection="1">
      <alignment horizontal="center" vertical="center"/>
    </xf>
    <xf numFmtId="0" fontId="5"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6" fillId="2" borderId="4" xfId="0" applyFont="1" applyFill="1" applyBorder="1" applyAlignment="1">
      <alignment horizontal="right" vertical="center" indent="4"/>
    </xf>
    <xf numFmtId="0" fontId="6" fillId="2" borderId="5" xfId="0" applyFont="1" applyFill="1" applyBorder="1" applyAlignment="1">
      <alignment horizontal="right" vertical="center" indent="4"/>
    </xf>
    <xf numFmtId="0" fontId="8" fillId="2" borderId="1" xfId="0" applyFont="1" applyFill="1" applyBorder="1" applyAlignment="1">
      <alignment horizontal="center" vertical="center"/>
    </xf>
    <xf numFmtId="0" fontId="0" fillId="0" borderId="6" xfId="0" applyBorder="1"/>
  </cellXfs>
  <cellStyles count="2">
    <cellStyle name="Hyperlink" xfId="1" builtinId="8"/>
    <cellStyle name="Normal" xfId="0" builtinId="0"/>
  </cellStyles>
  <dxfs count="2">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361950</xdr:colOff>
      <xdr:row>1</xdr:row>
      <xdr:rowOff>28575</xdr:rowOff>
    </xdr:from>
    <xdr:to>
      <xdr:col>26</xdr:col>
      <xdr:colOff>247650</xdr:colOff>
      <xdr:row>5</xdr:row>
      <xdr:rowOff>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581150" y="219075"/>
          <a:ext cx="14516100" cy="7334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rgbClr val="7030A0"/>
              </a:solidFill>
              <a:effectLst/>
              <a:latin typeface="+mn-lt"/>
              <a:ea typeface="+mn-ea"/>
              <a:cs typeface="+mn-cs"/>
            </a:rPr>
            <a:t>     </a:t>
          </a:r>
          <a:r>
            <a:rPr lang="en-US" sz="3200" b="0" i="0">
              <a:solidFill>
                <a:srgbClr val="7030A0"/>
              </a:solidFill>
              <a:effectLst/>
              <a:latin typeface="+mn-lt"/>
              <a:ea typeface="+mn-ea"/>
              <a:cs typeface="+mn-cs"/>
            </a:rPr>
            <a:t>Comparative Analysis of Depreciation Methods: Straight-Line vs. Diminishing Balance</a:t>
          </a:r>
          <a:endParaRPr lang="en-US" sz="1100">
            <a:solidFill>
              <a:srgbClr val="7030A0"/>
            </a:solidFill>
          </a:endParaRPr>
        </a:p>
      </xdr:txBody>
    </xdr:sp>
    <xdr:clientData/>
  </xdr:twoCellAnchor>
  <xdr:twoCellAnchor>
    <xdr:from>
      <xdr:col>2</xdr:col>
      <xdr:colOff>314325</xdr:colOff>
      <xdr:row>7</xdr:row>
      <xdr:rowOff>57150</xdr:rowOff>
    </xdr:from>
    <xdr:to>
      <xdr:col>26</xdr:col>
      <xdr:colOff>438150</xdr:colOff>
      <xdr:row>36</xdr:row>
      <xdr:rowOff>152400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533525" y="1390650"/>
          <a:ext cx="14754225" cy="5619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7030A0"/>
            </a:solidFill>
            <a:effectLst/>
          </a:endParaRPr>
        </a:p>
        <a:p>
          <a:r>
            <a:rPr lang="en-US" sz="2000" b="1" i="0">
              <a:solidFill>
                <a:srgbClr val="7030A0"/>
              </a:solidFill>
              <a:effectLst/>
              <a:latin typeface="+mn-lt"/>
              <a:ea typeface="+mn-ea"/>
              <a:cs typeface="+mn-cs"/>
            </a:rPr>
            <a:t>Point</a:t>
          </a:r>
          <a:r>
            <a:rPr lang="en-US" sz="2000" b="1" i="0" baseline="0">
              <a:solidFill>
                <a:srgbClr val="7030A0"/>
              </a:solidFill>
              <a:effectLst/>
              <a:latin typeface="+mn-lt"/>
              <a:ea typeface="+mn-ea"/>
              <a:cs typeface="+mn-cs"/>
            </a:rPr>
            <a:t>s to remember before starting this project:-</a:t>
          </a:r>
          <a:endParaRPr lang="en-US" sz="2000">
            <a:solidFill>
              <a:srgbClr val="7030A0"/>
            </a:solidFill>
            <a:effectLst/>
          </a:endParaRPr>
        </a:p>
        <a:p>
          <a:r>
            <a:rPr lang="en-US" sz="2000" b="1" i="0" baseline="0">
              <a:solidFill>
                <a:srgbClr val="7030A0"/>
              </a:solidFill>
              <a:effectLst/>
              <a:latin typeface="+mn-lt"/>
              <a:ea typeface="+mn-ea"/>
              <a:cs typeface="+mn-cs"/>
            </a:rPr>
            <a:t>Purpose of the project is to give you the fundamental ideas about how Depreciation methods  and terminologies works in Excel so imp thing is to go thorough this documentation very carefully and understand the tems.</a:t>
          </a:r>
          <a:endParaRPr lang="en-US" sz="2000">
            <a:solidFill>
              <a:srgbClr val="7030A0"/>
            </a:solidFill>
            <a:effectLst/>
          </a:endParaRPr>
        </a:p>
        <a:p>
          <a:r>
            <a:rPr lang="en-US" sz="2000" b="1" i="0" baseline="0">
              <a:solidFill>
                <a:srgbClr val="7030A0"/>
              </a:solidFill>
              <a:effectLst/>
              <a:latin typeface="+mn-lt"/>
              <a:ea typeface="+mn-ea"/>
              <a:cs typeface="+mn-cs"/>
            </a:rPr>
            <a:t>1. In Project Worksheets you dataset is already prepared  so you have to find the values and answers for given functions for solution please go through this sheet </a:t>
          </a:r>
          <a:endParaRPr lang="en-US" sz="2000">
            <a:solidFill>
              <a:srgbClr val="7030A0"/>
            </a:solidFill>
            <a:effectLst/>
          </a:endParaRPr>
        </a:p>
        <a:p>
          <a:r>
            <a:rPr lang="en-US" sz="2000" b="1" i="0" baseline="0">
              <a:solidFill>
                <a:srgbClr val="7030A0"/>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a:solidFill>
              <a:srgbClr val="7030A0"/>
            </a:solidFill>
            <a:effectLst/>
          </a:endParaRPr>
        </a:p>
        <a:p>
          <a:r>
            <a:rPr lang="en-US" sz="2000" b="1" i="0" baseline="0">
              <a:solidFill>
                <a:srgbClr val="7030A0"/>
              </a:solidFill>
              <a:effectLst/>
              <a:latin typeface="+mn-lt"/>
              <a:ea typeface="+mn-ea"/>
              <a:cs typeface="+mn-cs"/>
            </a:rPr>
            <a:t>3. After doing the anlalysis Create a Summary report that what insights and analysis you have find while doing this proects</a:t>
          </a:r>
          <a:endParaRPr lang="en-US" sz="2000">
            <a:solidFill>
              <a:srgbClr val="7030A0"/>
            </a:solidFill>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161926</xdr:colOff>
      <xdr:row>24</xdr:row>
      <xdr:rowOff>247651</xdr:rowOff>
    </xdr:from>
    <xdr:to>
      <xdr:col>10</xdr:col>
      <xdr:colOff>333376</xdr:colOff>
      <xdr:row>25</xdr:row>
      <xdr:rowOff>66676</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0934701" y="6686551"/>
          <a:ext cx="171450" cy="7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326C83-B5DA-4857-AFFA-A67D25A4E337}" name="Table1" displayName="Table1" ref="B4:C14" totalsRowShown="0">
  <autoFilter ref="B4:C14" xr:uid="{E5326C83-B5DA-4857-AFFA-A67D25A4E337}"/>
  <tableColumns count="2">
    <tableColumn id="1" xr3:uid="{EA2BDC6E-1B87-46CF-94E9-E8AF3CBCBC4A}" name="Questions" dataDxfId="1"/>
    <tableColumn id="2" xr3:uid="{07E576AF-891C-4A48-AFFA-10B859A07E64}" name="Solutions" dataDxfId="0"/>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50" workbookViewId="0">
      <selection activeCell="AB19" sqref="AB19"/>
    </sheetView>
  </sheetViews>
  <sheetFormatPr defaultRowHeight="15"/>
  <cols>
    <col min="1" max="1" width="9.14062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6"/>
  <sheetViews>
    <sheetView topLeftCell="A16" workbookViewId="0">
      <selection activeCell="B17" sqref="B17:D45"/>
    </sheetView>
  </sheetViews>
  <sheetFormatPr defaultColWidth="8.7109375" defaultRowHeight="18.75"/>
  <cols>
    <col min="1" max="1" width="3.140625" style="1" customWidth="1"/>
    <col min="2" max="2" width="12.5703125" style="1" customWidth="1"/>
    <col min="3" max="3" width="79.85546875" style="1" customWidth="1"/>
    <col min="4" max="4" width="19.140625" style="1" bestFit="1" customWidth="1"/>
    <col min="5" max="5" width="3.28515625" style="1" customWidth="1"/>
    <col min="6" max="6" width="8.7109375" style="1"/>
    <col min="7" max="7" width="9" style="1" bestFit="1" customWidth="1"/>
    <col min="8" max="16384" width="8.7109375" style="1"/>
  </cols>
  <sheetData>
    <row r="1" spans="1:5" ht="9.9499999999999993" customHeight="1" thickBot="1">
      <c r="A1" s="9"/>
      <c r="B1" s="9"/>
      <c r="C1" s="9"/>
      <c r="D1" s="9"/>
      <c r="E1" s="9"/>
    </row>
    <row r="2" spans="1:5" ht="36.75" thickTop="1" thickBot="1">
      <c r="A2" s="9"/>
      <c r="B2" s="17"/>
      <c r="C2" s="15" t="s">
        <v>0</v>
      </c>
      <c r="D2" s="15"/>
      <c r="E2" s="9"/>
    </row>
    <row r="3" spans="1:5" ht="27" thickTop="1" thickBot="1">
      <c r="A3" s="9"/>
      <c r="B3" s="18"/>
      <c r="C3" s="16" t="s">
        <v>1</v>
      </c>
      <c r="D3" s="16"/>
      <c r="E3" s="9"/>
    </row>
    <row r="4" spans="1:5" ht="20.25" thickTop="1" thickBot="1">
      <c r="A4" s="9"/>
      <c r="B4" s="5"/>
      <c r="C4" s="5"/>
      <c r="D4" s="5"/>
      <c r="E4" s="9"/>
    </row>
    <row r="5" spans="1:5" ht="27" thickTop="1" thickBot="1">
      <c r="A5" s="9"/>
      <c r="B5" s="21" t="s">
        <v>2</v>
      </c>
      <c r="C5" s="21"/>
      <c r="D5" s="21"/>
      <c r="E5" s="9"/>
    </row>
    <row r="6" spans="1:5" ht="20.25" thickTop="1" thickBot="1">
      <c r="A6" s="9"/>
      <c r="B6" s="19" t="s">
        <v>3</v>
      </c>
      <c r="C6" s="20"/>
      <c r="D6" s="10">
        <v>450000</v>
      </c>
      <c r="E6" s="9"/>
    </row>
    <row r="7" spans="1:5" ht="20.25" thickTop="1" thickBot="1">
      <c r="A7" s="9"/>
      <c r="B7" s="19" t="s">
        <v>4</v>
      </c>
      <c r="C7" s="20"/>
      <c r="D7" s="10">
        <v>50000</v>
      </c>
      <c r="E7" s="9"/>
    </row>
    <row r="8" spans="1:5" ht="20.25" thickTop="1" thickBot="1">
      <c r="A8" s="9"/>
      <c r="B8" s="19" t="s">
        <v>5</v>
      </c>
      <c r="C8" s="20"/>
      <c r="D8" s="4">
        <f>(D6+D7)</f>
        <v>500000</v>
      </c>
      <c r="E8" s="9"/>
    </row>
    <row r="9" spans="1:5" ht="20.25" thickTop="1" thickBot="1">
      <c r="A9" s="9"/>
      <c r="B9" s="19" t="s">
        <v>6</v>
      </c>
      <c r="C9" s="20"/>
      <c r="D9" s="10">
        <v>50000</v>
      </c>
      <c r="E9" s="9"/>
    </row>
    <row r="10" spans="1:5" ht="20.25" thickTop="1" thickBot="1">
      <c r="A10" s="9"/>
      <c r="B10" s="19" t="s">
        <v>7</v>
      </c>
      <c r="C10" s="20"/>
      <c r="D10" s="11">
        <v>10</v>
      </c>
      <c r="E10" s="9"/>
    </row>
    <row r="11" spans="1:5" ht="20.25" thickTop="1" thickBot="1">
      <c r="A11" s="9"/>
      <c r="B11" s="14" t="s">
        <v>8</v>
      </c>
      <c r="C11" s="14"/>
      <c r="D11" s="4">
        <f>(D8-D9)/D10</f>
        <v>45000</v>
      </c>
      <c r="E11" s="9"/>
    </row>
    <row r="12" spans="1:5" ht="20.25" thickTop="1" thickBot="1">
      <c r="A12" s="9"/>
      <c r="B12" s="14" t="s">
        <v>9</v>
      </c>
      <c r="C12" s="14"/>
      <c r="D12" s="6">
        <f>IFERROR(D11/D8,"")</f>
        <v>0.09</v>
      </c>
      <c r="E12" s="9"/>
    </row>
    <row r="13" spans="1:5" ht="20.25" thickTop="1" thickBot="1">
      <c r="A13" s="9"/>
      <c r="B13" s="19" t="s">
        <v>10</v>
      </c>
      <c r="C13" s="20"/>
      <c r="D13" s="3">
        <f>D11*D10</f>
        <v>450000</v>
      </c>
      <c r="E13" s="9"/>
    </row>
    <row r="14" spans="1:5" ht="20.25" thickTop="1" thickBot="1">
      <c r="A14" s="9"/>
      <c r="B14" s="19" t="s">
        <v>11</v>
      </c>
      <c r="C14" s="20"/>
      <c r="D14" s="3">
        <f>D9</f>
        <v>50000</v>
      </c>
      <c r="E14" s="9"/>
    </row>
    <row r="15" spans="1:5" ht="20.25" thickTop="1" thickBot="1">
      <c r="A15" s="9"/>
      <c r="B15" s="19" t="s">
        <v>12</v>
      </c>
      <c r="C15" s="20"/>
      <c r="D15" s="3">
        <f>IF(D8="", "", D9-D14)</f>
        <v>0</v>
      </c>
      <c r="E15" s="9"/>
    </row>
    <row r="16" spans="1:5" ht="20.25" thickTop="1" thickBot="1">
      <c r="A16" s="9"/>
      <c r="B16" s="5"/>
      <c r="C16" s="5"/>
      <c r="D16" s="5"/>
      <c r="E16" s="9"/>
    </row>
    <row r="17" spans="1:5" ht="27" thickTop="1" thickBot="1">
      <c r="A17" s="9"/>
      <c r="B17" s="21" t="s">
        <v>13</v>
      </c>
      <c r="C17" s="21"/>
      <c r="D17" s="21"/>
      <c r="E17" s="9"/>
    </row>
    <row r="18" spans="1:5" ht="18.95" customHeight="1" thickTop="1" thickBot="1">
      <c r="A18" s="9"/>
      <c r="B18" s="14" t="s">
        <v>3</v>
      </c>
      <c r="C18" s="14"/>
      <c r="D18" s="10">
        <v>450000</v>
      </c>
      <c r="E18" s="9"/>
    </row>
    <row r="19" spans="1:5" ht="18.95" customHeight="1" thickTop="1" thickBot="1">
      <c r="A19" s="9"/>
      <c r="B19" s="14" t="s">
        <v>14</v>
      </c>
      <c r="C19" s="14"/>
      <c r="D19" s="10">
        <v>50000</v>
      </c>
      <c r="E19" s="9"/>
    </row>
    <row r="20" spans="1:5" ht="18.95" customHeight="1" thickTop="1" thickBot="1">
      <c r="A20" s="9"/>
      <c r="B20" s="14" t="s">
        <v>5</v>
      </c>
      <c r="C20" s="14"/>
      <c r="D20" s="4">
        <f>D18+D19</f>
        <v>500000</v>
      </c>
      <c r="E20" s="9"/>
    </row>
    <row r="21" spans="1:5" ht="18.95" customHeight="1" thickTop="1" thickBot="1">
      <c r="A21" s="9"/>
      <c r="B21" s="14" t="s">
        <v>6</v>
      </c>
      <c r="C21" s="14"/>
      <c r="D21" s="10">
        <v>50000</v>
      </c>
      <c r="E21" s="9"/>
    </row>
    <row r="22" spans="1:5" ht="18.95" customHeight="1" thickTop="1" thickBot="1">
      <c r="A22" s="9"/>
      <c r="B22" s="14" t="s">
        <v>7</v>
      </c>
      <c r="C22" s="14"/>
      <c r="D22" s="11">
        <v>10</v>
      </c>
      <c r="E22" s="9"/>
    </row>
    <row r="23" spans="1:5" ht="18.95" customHeight="1" thickTop="1" thickBot="1">
      <c r="A23" s="9"/>
      <c r="B23" s="12" t="s">
        <v>15</v>
      </c>
      <c r="C23" s="12"/>
      <c r="D23" s="6">
        <f>IF(D20="","",1-(D21/D20)^(1/D22))</f>
        <v>0.20567176527571851</v>
      </c>
      <c r="E23" s="9"/>
    </row>
    <row r="24" spans="1:5" ht="24" thickTop="1" thickBot="1">
      <c r="A24" s="9"/>
      <c r="B24" s="13" t="s">
        <v>16</v>
      </c>
      <c r="C24" s="13"/>
      <c r="D24" s="13"/>
      <c r="E24" s="9"/>
    </row>
    <row r="25" spans="1:5" ht="20.25" thickTop="1" thickBot="1">
      <c r="A25" s="9"/>
      <c r="B25" s="7" t="s">
        <v>17</v>
      </c>
      <c r="C25" s="7" t="s">
        <v>18</v>
      </c>
      <c r="D25" s="7" t="s">
        <v>19</v>
      </c>
      <c r="E25" s="9"/>
    </row>
    <row r="26" spans="1:5" ht="20.25" thickTop="1" thickBot="1">
      <c r="A26" s="9"/>
      <c r="B26" s="2">
        <v>1</v>
      </c>
      <c r="C26" s="8">
        <f>D26*D23</f>
        <v>102835.88263785925</v>
      </c>
      <c r="D26" s="8">
        <f>D20</f>
        <v>500000</v>
      </c>
      <c r="E26" s="9"/>
    </row>
    <row r="27" spans="1:5" ht="20.25" thickTop="1" thickBot="1">
      <c r="A27" s="9"/>
      <c r="B27" s="2">
        <v>2</v>
      </c>
      <c r="C27" s="8">
        <f>D27*0.2057</f>
        <v>81696.65894139235</v>
      </c>
      <c r="D27" s="8">
        <f>D26-C26</f>
        <v>397164.11736214074</v>
      </c>
      <c r="E27" s="9"/>
    </row>
    <row r="28" spans="1:5" ht="20.25" thickTop="1" thickBot="1">
      <c r="A28" s="9"/>
      <c r="B28" s="2">
        <v>3</v>
      </c>
      <c r="C28" s="8">
        <f>D28*0.2057</f>
        <v>64891.656197147939</v>
      </c>
      <c r="D28" s="8">
        <f>D27-C27</f>
        <v>315467.45842074836</v>
      </c>
      <c r="E28" s="9"/>
    </row>
    <row r="29" spans="1:5" ht="20.25" thickTop="1" thickBot="1">
      <c r="A29" s="9"/>
      <c r="B29" s="2">
        <v>4</v>
      </c>
      <c r="C29" s="8">
        <f>D29*0.2057</f>
        <v>51543.442517394607</v>
      </c>
      <c r="D29" s="8">
        <f>D28-C28</f>
        <v>250575.80222360042</v>
      </c>
      <c r="E29" s="9"/>
    </row>
    <row r="30" spans="1:5" ht="20.25" thickTop="1" thickBot="1">
      <c r="A30" s="9"/>
      <c r="B30" s="2">
        <v>5</v>
      </c>
      <c r="C30" s="8">
        <f>D30*0.2057</f>
        <v>40940.956391566535</v>
      </c>
      <c r="D30" s="8">
        <f>D29-C29</f>
        <v>199032.35970620581</v>
      </c>
      <c r="E30" s="9"/>
    </row>
    <row r="31" spans="1:5" ht="20.25" thickTop="1" thickBot="1">
      <c r="A31" s="9"/>
      <c r="B31" s="2">
        <v>6</v>
      </c>
      <c r="C31" s="8">
        <f>D31*0.2057</f>
        <v>32519.401661821303</v>
      </c>
      <c r="D31" s="8">
        <f>D30-C30</f>
        <v>158091.40331463929</v>
      </c>
      <c r="E31" s="9"/>
    </row>
    <row r="32" spans="1:5" ht="20.25" thickTop="1" thickBot="1">
      <c r="A32" s="9"/>
      <c r="B32" s="2">
        <v>7</v>
      </c>
      <c r="C32" s="8">
        <f>D32*0.2057</f>
        <v>25830.160739984658</v>
      </c>
      <c r="D32" s="8">
        <f>D31-C31</f>
        <v>125572.00165281798</v>
      </c>
      <c r="E32" s="9"/>
    </row>
    <row r="33" spans="1:5" ht="20.25" thickTop="1" thickBot="1">
      <c r="A33" s="9"/>
      <c r="B33" s="2">
        <v>8</v>
      </c>
      <c r="C33" s="8">
        <f>D33*0.2057</f>
        <v>20516.896675769814</v>
      </c>
      <c r="D33" s="8">
        <f>D32-C32</f>
        <v>99741.84091283333</v>
      </c>
      <c r="E33" s="9"/>
    </row>
    <row r="34" spans="1:5" ht="20.25" thickTop="1" thickBot="1">
      <c r="A34" s="9"/>
      <c r="B34" s="2">
        <v>9</v>
      </c>
      <c r="C34" s="8">
        <f>D34*0.2057</f>
        <v>16296.571029563966</v>
      </c>
      <c r="D34" s="8">
        <f>D33-C33</f>
        <v>79224.944237063522</v>
      </c>
      <c r="E34" s="9"/>
    </row>
    <row r="35" spans="1:5" ht="20.25" thickTop="1" thickBot="1">
      <c r="A35" s="9"/>
      <c r="B35" s="2">
        <v>10</v>
      </c>
      <c r="C35" s="8">
        <f>D35*0.2057</f>
        <v>12944.366368782659</v>
      </c>
      <c r="D35" s="8">
        <f>D34-C34</f>
        <v>62928.373207499557</v>
      </c>
      <c r="E35" s="9"/>
    </row>
    <row r="36" spans="1:5" ht="20.25" thickTop="1" thickBot="1">
      <c r="A36" s="9"/>
      <c r="B36" s="2"/>
      <c r="C36" s="8" t="s">
        <v>6</v>
      </c>
      <c r="D36" s="8">
        <f>D35-C35</f>
        <v>49984.006838716901</v>
      </c>
      <c r="E36" s="9"/>
    </row>
    <row r="37" spans="1:5" ht="20.25" thickTop="1" thickBot="1">
      <c r="A37" s="9"/>
      <c r="B37" s="2"/>
      <c r="C37" s="8" t="str">
        <f t="shared" ref="C27:C45" si="0">IFERROR(IF(D37&gt;$D$21, (D37*$D$23), ""),"")</f>
        <v/>
      </c>
      <c r="D37" s="8" t="str">
        <f t="shared" ref="D27:D45" si="1">IFERROR(D36-C36, "")</f>
        <v/>
      </c>
      <c r="E37" s="9"/>
    </row>
    <row r="38" spans="1:5" ht="20.25" thickTop="1" thickBot="1">
      <c r="A38" s="9"/>
      <c r="B38" s="2"/>
      <c r="C38" s="8" t="str">
        <f t="shared" si="0"/>
        <v/>
      </c>
      <c r="D38" s="8" t="str">
        <f t="shared" si="1"/>
        <v/>
      </c>
      <c r="E38" s="9"/>
    </row>
    <row r="39" spans="1:5" ht="20.25" thickTop="1" thickBot="1">
      <c r="A39" s="9"/>
      <c r="B39" s="2"/>
      <c r="C39" s="8" t="str">
        <f t="shared" si="0"/>
        <v/>
      </c>
      <c r="D39" s="8" t="str">
        <f t="shared" si="1"/>
        <v/>
      </c>
      <c r="E39" s="9"/>
    </row>
    <row r="40" spans="1:5" ht="20.25" thickTop="1" thickBot="1">
      <c r="A40" s="9"/>
      <c r="B40" s="2"/>
      <c r="C40" s="8" t="str">
        <f t="shared" si="0"/>
        <v/>
      </c>
      <c r="D40" s="8" t="str">
        <f t="shared" si="1"/>
        <v/>
      </c>
      <c r="E40" s="9"/>
    </row>
    <row r="41" spans="1:5" ht="20.25" thickTop="1" thickBot="1">
      <c r="A41" s="9"/>
      <c r="B41" s="2"/>
      <c r="C41" s="8" t="str">
        <f t="shared" si="0"/>
        <v/>
      </c>
      <c r="D41" s="8" t="str">
        <f t="shared" si="1"/>
        <v/>
      </c>
      <c r="E41" s="9"/>
    </row>
    <row r="42" spans="1:5" ht="20.25" thickTop="1" thickBot="1">
      <c r="A42" s="9"/>
      <c r="B42" s="2"/>
      <c r="C42" s="8" t="str">
        <f t="shared" si="0"/>
        <v/>
      </c>
      <c r="D42" s="8" t="str">
        <f t="shared" si="1"/>
        <v/>
      </c>
      <c r="E42" s="9"/>
    </row>
    <row r="43" spans="1:5" ht="20.25" thickTop="1" thickBot="1">
      <c r="A43" s="9"/>
      <c r="B43" s="2"/>
      <c r="C43" s="8" t="str">
        <f t="shared" si="0"/>
        <v/>
      </c>
      <c r="D43" s="8" t="str">
        <f t="shared" si="1"/>
        <v/>
      </c>
      <c r="E43" s="9"/>
    </row>
    <row r="44" spans="1:5" ht="20.25" thickTop="1" thickBot="1">
      <c r="A44" s="9"/>
      <c r="B44" s="2"/>
      <c r="C44" s="8" t="str">
        <f t="shared" si="0"/>
        <v/>
      </c>
      <c r="D44" s="8" t="str">
        <f t="shared" si="1"/>
        <v/>
      </c>
      <c r="E44" s="9"/>
    </row>
    <row r="45" spans="1:5" ht="20.25" thickTop="1" thickBot="1">
      <c r="A45" s="9"/>
      <c r="B45" s="2"/>
      <c r="C45" s="8" t="str">
        <f t="shared" si="0"/>
        <v/>
      </c>
      <c r="D45" s="8" t="str">
        <f t="shared" si="1"/>
        <v/>
      </c>
      <c r="E45" s="9"/>
    </row>
    <row r="46" spans="1:5" ht="19.5" thickTop="1">
      <c r="A46" s="9"/>
      <c r="B46" s="9"/>
      <c r="C46" s="9"/>
      <c r="D46" s="9"/>
      <c r="E46" s="9"/>
    </row>
  </sheetData>
  <mergeCells count="22">
    <mergeCell ref="B8:C8"/>
    <mergeCell ref="B9:C9"/>
    <mergeCell ref="B10:C10"/>
    <mergeCell ref="B17:D17"/>
    <mergeCell ref="B11:C11"/>
    <mergeCell ref="B13:C13"/>
    <mergeCell ref="B14:C14"/>
    <mergeCell ref="B15:C15"/>
    <mergeCell ref="C2:D2"/>
    <mergeCell ref="C3:D3"/>
    <mergeCell ref="B2:B3"/>
    <mergeCell ref="B6:C6"/>
    <mergeCell ref="B7:C7"/>
    <mergeCell ref="B5:D5"/>
    <mergeCell ref="B23:C23"/>
    <mergeCell ref="B24:D24"/>
    <mergeCell ref="B12:C12"/>
    <mergeCell ref="B18:C18"/>
    <mergeCell ref="B19:C19"/>
    <mergeCell ref="B20:C20"/>
    <mergeCell ref="B21:C21"/>
    <mergeCell ref="B22:C22"/>
  </mergeCells>
  <printOptions horizontalCentered="1" verticalCentered="1"/>
  <pageMargins left="0.19685039370078741" right="0.19685039370078741" top="0.19685039370078741" bottom="0.19685039370078741" header="0.31496062992125984" footer="0.31496062992125984"/>
  <pageSetup paperSize="9" orientation="portrait" horizontalDpi="30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6C64D-DBEE-4936-8F58-A79D7929BAFE}">
  <dimension ref="B4:C14"/>
  <sheetViews>
    <sheetView tabSelected="1" workbookViewId="0">
      <selection activeCell="B19" sqref="B19"/>
    </sheetView>
  </sheetViews>
  <sheetFormatPr defaultRowHeight="15"/>
  <cols>
    <col min="2" max="2" width="156.42578125" bestFit="1" customWidth="1"/>
    <col min="3" max="3" width="29.42578125" bestFit="1" customWidth="1"/>
  </cols>
  <sheetData>
    <row r="4" spans="2:3">
      <c r="B4" t="s">
        <v>20</v>
      </c>
      <c r="C4" t="s">
        <v>21</v>
      </c>
    </row>
    <row r="5" spans="2:3">
      <c r="B5" s="22" t="s">
        <v>22</v>
      </c>
      <c r="C5" s="22">
        <f>('Depreciation Calculator'!D8-'Depreciation Calculator'!D9)/'Depreciation Calculator'!D10</f>
        <v>45000</v>
      </c>
    </row>
    <row r="6" spans="2:3">
      <c r="B6" s="22" t="s">
        <v>23</v>
      </c>
      <c r="C6" s="22">
        <f>'Depreciation Calculator'!D11*'Depreciation Calculator'!D10</f>
        <v>450000</v>
      </c>
    </row>
    <row r="7" spans="2:3">
      <c r="B7" s="22" t="s">
        <v>24</v>
      </c>
      <c r="C7" s="22">
        <f>'Depreciation Calculator'!D9</f>
        <v>50000</v>
      </c>
    </row>
    <row r="8" spans="2:3">
      <c r="B8" s="22" t="s">
        <v>25</v>
      </c>
      <c r="C8" s="22">
        <f>IF('Depreciation Calculator'!D20="","",1-('Depreciation Calculator'!D21/'Depreciation Calculator'!D20)^(1/'Depreciation Calculator'!D22))</f>
        <v>0.20567176527571851</v>
      </c>
    </row>
    <row r="9" spans="2:3">
      <c r="B9" s="22" t="s">
        <v>26</v>
      </c>
      <c r="C9" s="22">
        <f>'Depreciation Calculator'!C27</f>
        <v>81696.65894139235</v>
      </c>
    </row>
    <row r="10" spans="2:3">
      <c r="B10" s="22" t="s">
        <v>27</v>
      </c>
      <c r="C10" s="22">
        <f>'Depreciation Calculator'!D29</f>
        <v>250575.80222360042</v>
      </c>
    </row>
    <row r="11" spans="2:3">
      <c r="B11" s="22" t="s">
        <v>28</v>
      </c>
      <c r="C11" s="22">
        <f>'Depreciation Calculator'!D26-'Depreciation Calculator'!D21</f>
        <v>450000</v>
      </c>
    </row>
    <row r="12" spans="2:3">
      <c r="B12" s="22" t="s">
        <v>29</v>
      </c>
      <c r="C12" s="22">
        <f>'Depreciation Calculator'!D21</f>
        <v>50000</v>
      </c>
    </row>
    <row r="13" spans="2:3">
      <c r="B13" s="22" t="s">
        <v>30</v>
      </c>
      <c r="C13" s="22" t="s">
        <v>31</v>
      </c>
    </row>
    <row r="14" spans="2:3">
      <c r="B14" s="22" t="s">
        <v>32</v>
      </c>
      <c r="C14" s="22" t="s">
        <v>33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Fahim;ExcelDataPro</dc:creator>
  <cp:keywords>Depreciation Calculator Excel Template;www.ExcelDataPro.com</cp:keywords>
  <dc:description/>
  <cp:lastModifiedBy>Swaraj Madavi</cp:lastModifiedBy>
  <cp:revision/>
  <dcterms:created xsi:type="dcterms:W3CDTF">2019-12-30T10:28:43Z</dcterms:created>
  <dcterms:modified xsi:type="dcterms:W3CDTF">2026-06-05T07:20:41Z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5487c9-99ed-4cbc-93a8-0e9b1796bde5_Enabled">
    <vt:lpwstr>true</vt:lpwstr>
  </property>
  <property fmtid="{D5CDD505-2E9C-101B-9397-08002B2CF9AE}" pid="3" name="MSIP_Label_e65487c9-99ed-4cbc-93a8-0e9b1796bde5_SetDate">
    <vt:lpwstr>2026-06-05T07:04:08Z</vt:lpwstr>
  </property>
  <property fmtid="{D5CDD505-2E9C-101B-9397-08002B2CF9AE}" pid="4" name="MSIP_Label_e65487c9-99ed-4cbc-93a8-0e9b1796bde5_Method">
    <vt:lpwstr>Standard</vt:lpwstr>
  </property>
  <property fmtid="{D5CDD505-2E9C-101B-9397-08002B2CF9AE}" pid="5" name="MSIP_Label_e65487c9-99ed-4cbc-93a8-0e9b1796bde5_Name">
    <vt:lpwstr>defa4170-0d19-0005-0004-bc88714345d2</vt:lpwstr>
  </property>
  <property fmtid="{D5CDD505-2E9C-101B-9397-08002B2CF9AE}" pid="6" name="MSIP_Label_e65487c9-99ed-4cbc-93a8-0e9b1796bde5_SiteId">
    <vt:lpwstr>03cb5f0c-1f82-4993-9621-36330f6309ec</vt:lpwstr>
  </property>
  <property fmtid="{D5CDD505-2E9C-101B-9397-08002B2CF9AE}" pid="7" name="MSIP_Label_e65487c9-99ed-4cbc-93a8-0e9b1796bde5_ActionId">
    <vt:lpwstr>d15bb891-a9eb-4193-abfc-3046c74f1217</vt:lpwstr>
  </property>
  <property fmtid="{D5CDD505-2E9C-101B-9397-08002B2CF9AE}" pid="8" name="MSIP_Label_e65487c9-99ed-4cbc-93a8-0e9b1796bde5_ContentBits">
    <vt:lpwstr>0</vt:lpwstr>
  </property>
  <property fmtid="{D5CDD505-2E9C-101B-9397-08002B2CF9AE}" pid="9" name="MSIP_Label_e65487c9-99ed-4cbc-93a8-0e9b1796bde5_Tag">
    <vt:lpwstr>10, 3, 0, 2</vt:lpwstr>
  </property>
</Properties>
</file>