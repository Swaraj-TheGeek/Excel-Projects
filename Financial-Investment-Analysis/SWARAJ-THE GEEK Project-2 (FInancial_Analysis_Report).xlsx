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xr:revisionPtr revIDLastSave="0" documentId="8_{D5C1EEB5-C3E7-4CD8-9E46-15C71D737631}" xr6:coauthVersionLast="47" xr6:coauthVersionMax="47" xr10:uidLastSave="{00000000-0000-0000-0000-000000000000}"/>
  <bookViews>
    <workbookView xWindow="-105" yWindow="-105" windowWidth="23250" windowHeight="12450" firstSheet="1" activeTab="3" xr2:uid="{00000000-000D-0000-FFFF-FFFF00000000}"/>
  </bookViews>
  <sheets>
    <sheet name="Project Information" sheetId="1" r:id="rId1"/>
    <sheet name="Project Worksheets" sheetId="2" r:id="rId2"/>
    <sheet name="Pivot" sheetId="5" state="hidden" r:id="rId3"/>
    <sheet name="Financial_data" sheetId="3" r:id="rId4"/>
    <sheet name="BasicQuestion" sheetId="4" r:id="rId5"/>
    <sheet name="IntermediateQuestion" sheetId="6" r:id="rId6"/>
    <sheet name="DashBoard Wiith Slicer" sheetId="7" r:id="rId7"/>
    <sheet name="Investor Profiling Dashboard" sheetId="8" r:id="rId8"/>
    <sheet name="AdvancedQuestions" sheetId="9" r:id="rId9"/>
    <sheet name="Automatic Recommendation Sheet" sheetId="10" r:id="rId10"/>
    <sheet name="Executive Summary" sheetId="11" r:id="rId11"/>
  </sheets>
  <definedNames>
    <definedName name="Slicer_age_group">#N/A</definedName>
    <definedName name="Slicer_age_group1">#N/A</definedName>
    <definedName name="Slicer_gender">#N/A</definedName>
    <definedName name="Slicer_gender1">#N/A</definedName>
  </definedNames>
  <calcPr calcId="191028"/>
  <pivotCaches>
    <pivotCache cacheId="792" r:id="rId12"/>
    <pivotCache cacheId="793" r:id="rId13"/>
    <pivotCache cacheId="794"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2" l="1"/>
  <c r="B151" i="2"/>
  <c r="B152" i="2"/>
  <c r="B153" i="2"/>
  <c r="B150" i="2"/>
  <c r="B149" i="2"/>
  <c r="C136" i="2"/>
  <c r="B136" i="2"/>
  <c r="C124" i="2"/>
  <c r="C127" i="2"/>
  <c r="C119" i="2"/>
  <c r="C120" i="2"/>
  <c r="C121" i="2"/>
  <c r="C122" i="2"/>
  <c r="C123" i="2"/>
  <c r="C125" i="2"/>
  <c r="C126" i="2"/>
  <c r="C118" i="2"/>
  <c r="C117" i="2"/>
  <c r="B117" i="2"/>
  <c r="B103" i="2"/>
  <c r="C113" i="2"/>
  <c r="C112" i="2"/>
  <c r="C110" i="2"/>
  <c r="C111" i="2"/>
  <c r="C109" i="2"/>
  <c r="C108" i="2"/>
  <c r="C107" i="2"/>
  <c r="C106" i="2"/>
  <c r="C105" i="2"/>
  <c r="C104" i="2"/>
  <c r="C103" i="2"/>
  <c r="D89" i="2"/>
  <c r="E99" i="2"/>
  <c r="E98" i="2"/>
  <c r="E97" i="2"/>
  <c r="E96" i="2"/>
  <c r="E95" i="2"/>
  <c r="E94" i="2"/>
  <c r="E93" i="2"/>
  <c r="E90" i="2"/>
  <c r="E91" i="2"/>
  <c r="E92" i="2"/>
  <c r="E89" i="2"/>
  <c r="C77" i="2"/>
  <c r="C78" i="2"/>
  <c r="C79" i="2"/>
  <c r="C80" i="2"/>
  <c r="C81" i="2"/>
  <c r="C82" i="2"/>
  <c r="C83" i="2"/>
  <c r="C84" i="2"/>
  <c r="C76" i="2"/>
  <c r="E73" i="2"/>
  <c r="B73" i="2"/>
  <c r="C60" i="2"/>
  <c r="B60" i="2"/>
  <c r="C59" i="2"/>
  <c r="B59" i="2"/>
  <c r="C58" i="2"/>
  <c r="B58" i="2"/>
  <c r="C56" i="2"/>
  <c r="B56" i="2"/>
  <c r="B46" i="2"/>
  <c r="B40" i="2"/>
  <c r="D29" i="2"/>
  <c r="D28" i="2"/>
  <c r="E28" i="2"/>
  <c r="F28" i="2"/>
  <c r="D25" i="2"/>
  <c r="D24" i="2"/>
  <c r="D22" i="2"/>
  <c r="D21" i="2"/>
  <c r="B25" i="2"/>
  <c r="E17" i="2"/>
  <c r="B18" i="2"/>
  <c r="E7" i="2"/>
  <c r="B7" i="2"/>
  <c r="C62" i="4"/>
  <c r="I14" i="9"/>
  <c r="K92" i="9"/>
  <c r="K93" i="9"/>
  <c r="K91" i="9"/>
  <c r="I7" i="10" a="1"/>
  <c r="I7" i="10"/>
  <c r="I17" i="9"/>
  <c r="I16" i="9"/>
  <c r="I15" i="9"/>
  <c r="E2" i="3"/>
  <c r="F2" i="3" s="1"/>
  <c r="E3" i="3"/>
  <c r="F3" i="3" s="1"/>
  <c r="E4" i="3"/>
  <c r="F4" i="3" s="1"/>
  <c r="E5" i="3"/>
  <c r="F5" i="3" s="1"/>
  <c r="E6" i="3"/>
  <c r="F6" i="3" s="1"/>
  <c r="E7" i="3"/>
  <c r="F7" i="3" s="1"/>
  <c r="E8" i="3"/>
  <c r="F8" i="3" s="1"/>
  <c r="E9" i="3"/>
  <c r="F9" i="3" s="1"/>
  <c r="E10" i="3"/>
  <c r="F10" i="3" s="1"/>
  <c r="E11" i="3"/>
  <c r="F11" i="3" s="1"/>
  <c r="E12" i="3"/>
  <c r="F12" i="3" s="1"/>
  <c r="E13" i="3"/>
  <c r="F13" i="3" s="1"/>
  <c r="E14" i="3"/>
  <c r="F14" i="3" s="1"/>
  <c r="E15" i="3"/>
  <c r="F15" i="3" s="1"/>
  <c r="E16" i="3"/>
  <c r="F16" i="3" s="1"/>
  <c r="E17" i="3"/>
  <c r="F17" i="3" s="1"/>
  <c r="E18" i="3"/>
  <c r="F18" i="3" s="1"/>
  <c r="E19" i="3"/>
  <c r="F19" i="3" s="1"/>
  <c r="E20" i="3"/>
  <c r="F20" i="3" s="1"/>
  <c r="E21" i="3"/>
  <c r="F21" i="3" s="1"/>
  <c r="E22" i="3"/>
  <c r="F22" i="3" s="1"/>
  <c r="E23" i="3"/>
  <c r="F23" i="3" s="1"/>
  <c r="E24" i="3"/>
  <c r="F24" i="3" s="1"/>
  <c r="E25" i="3"/>
  <c r="F25" i="3" s="1"/>
  <c r="E26" i="3"/>
  <c r="F26" i="3" s="1"/>
  <c r="E27" i="3"/>
  <c r="F27" i="3" s="1"/>
  <c r="E28" i="3"/>
  <c r="F28" i="3" s="1"/>
  <c r="E29" i="3"/>
  <c r="F29" i="3" s="1"/>
  <c r="E30" i="3"/>
  <c r="F30" i="3" s="1"/>
  <c r="E31" i="3"/>
  <c r="F31" i="3" s="1"/>
  <c r="E32" i="3"/>
  <c r="F32" i="3" s="1"/>
  <c r="E33" i="3"/>
  <c r="F33" i="3" s="1"/>
  <c r="E34" i="3"/>
  <c r="F34" i="3" s="1"/>
  <c r="E35" i="3"/>
  <c r="F35" i="3" s="1"/>
  <c r="E36" i="3"/>
  <c r="F36" i="3" s="1"/>
  <c r="E37" i="3"/>
  <c r="F37" i="3" s="1"/>
  <c r="E38" i="3"/>
  <c r="F38" i="3" s="1"/>
  <c r="E39" i="3"/>
  <c r="F39" i="3" s="1"/>
  <c r="E40" i="3"/>
  <c r="F40" i="3" s="1"/>
  <c r="E41" i="3"/>
  <c r="F41" i="3" s="1"/>
  <c r="H72" i="6"/>
  <c r="I60" i="6"/>
  <c r="D2"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3" i="3"/>
  <c r="D4" i="3"/>
  <c r="D5" i="3"/>
  <c r="D6" i="3"/>
  <c r="C11" i="4"/>
  <c r="C2" i="4"/>
  <c r="A95" i="2"/>
  <c r="B28" i="2"/>
  <c r="A29" i="2"/>
  <c r="A30" i="2" s="1"/>
  <c r="A31" i="2" s="1"/>
  <c r="A32" i="2" s="1"/>
  <c r="A33" i="2" s="1"/>
  <c r="A34" i="2" s="1"/>
  <c r="A35" i="2" s="1"/>
  <c r="C30" i="2"/>
  <c r="E12" i="2"/>
  <c r="B14" i="2"/>
  <c r="B12" i="2"/>
  <c r="C29" i="2" l="1"/>
  <c r="C33" i="2"/>
  <c r="C28" i="2"/>
  <c r="C32" i="2"/>
  <c r="C35" i="2"/>
  <c r="C34" i="2"/>
  <c r="C31" i="2"/>
  <c r="B29" i="2" l="1"/>
  <c r="E29" i="2" l="1"/>
  <c r="F29" i="2" s="1"/>
  <c r="B30" i="2" s="1"/>
  <c r="D30" i="2"/>
  <c r="E30" i="2" s="1"/>
  <c r="F30" i="2"/>
  <c r="B31" i="2" s="1"/>
  <c r="D31" i="2" l="1"/>
  <c r="E31" i="2" s="1"/>
  <c r="F31" i="2" s="1"/>
  <c r="B32" i="2" s="1"/>
  <c r="D32" i="2" l="1"/>
  <c r="E32" i="2" s="1"/>
  <c r="F32" i="2" s="1"/>
  <c r="B33" i="2" s="1"/>
  <c r="D33" i="2" l="1"/>
  <c r="E33" i="2" s="1"/>
  <c r="F33" i="2" s="1"/>
  <c r="B34" i="2" s="1"/>
  <c r="D34" i="2" l="1"/>
  <c r="E34" i="2" s="1"/>
  <c r="F34" i="2" s="1"/>
  <c r="B35" i="2" s="1"/>
  <c r="D35" i="2" l="1"/>
  <c r="E35" i="2" s="1"/>
  <c r="F3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<sst xmlns="http://schemas.openxmlformats.org/spreadsheetml/2006/main" count="1290" uniqueCount="245">
  <si>
    <t>Annuity</t>
  </si>
  <si>
    <t>Price</t>
  </si>
  <si>
    <t>Interest Rate</t>
  </si>
  <si>
    <t>No. of payments</t>
  </si>
  <si>
    <t>Payment</t>
  </si>
  <si>
    <t>Payments at end of the year</t>
  </si>
  <si>
    <t>PV</t>
  </si>
  <si>
    <t>EMI</t>
  </si>
  <si>
    <t>Rate per annum</t>
  </si>
  <si>
    <t>Rate per month</t>
  </si>
  <si>
    <t>Term</t>
  </si>
  <si>
    <t>No. of monthly payments</t>
  </si>
  <si>
    <t>Loan Amount (PV)</t>
  </si>
  <si>
    <t>FV</t>
  </si>
  <si>
    <t>Type</t>
  </si>
  <si>
    <t>Interest paid between 2nd and 3rd months</t>
  </si>
  <si>
    <t>No. of monthly payment</t>
  </si>
  <si>
    <t>Principal paid between 2nd and 3rd months</t>
  </si>
  <si>
    <t>Month</t>
  </si>
  <si>
    <t>Beginning Balance</t>
  </si>
  <si>
    <t>Interest</t>
  </si>
  <si>
    <t>Principal</t>
  </si>
  <si>
    <t>Ending Balance</t>
  </si>
  <si>
    <t>Loan Amount</t>
  </si>
  <si>
    <t>No.of monthly payment</t>
  </si>
  <si>
    <t>Term Loan</t>
  </si>
  <si>
    <t>Decision on Investments</t>
  </si>
  <si>
    <t>Cash Flow</t>
  </si>
  <si>
    <t>Time</t>
  </si>
  <si>
    <t>Investement 1</t>
  </si>
  <si>
    <t>Investement 2</t>
  </si>
  <si>
    <t>Total</t>
  </si>
  <si>
    <t>NPV (End Year)</t>
  </si>
  <si>
    <t>NPV (Beginning Year)</t>
  </si>
  <si>
    <t>NPV (Middle Year)</t>
  </si>
  <si>
    <t>Date</t>
  </si>
  <si>
    <t>NPV</t>
  </si>
  <si>
    <t>IRR</t>
  </si>
  <si>
    <t>Cash Flows</t>
  </si>
  <si>
    <t>Guess</t>
  </si>
  <si>
    <t>Year</t>
  </si>
  <si>
    <t>Project A</t>
  </si>
  <si>
    <t>Project B</t>
  </si>
  <si>
    <t>8/15/2015</t>
  </si>
  <si>
    <t>3/15/2016</t>
  </si>
  <si>
    <t>4/25/2016</t>
  </si>
  <si>
    <t>XIRR</t>
  </si>
  <si>
    <t>Finance rate</t>
  </si>
  <si>
    <t>Reinvestment Rate</t>
  </si>
  <si>
    <t>Discount</t>
  </si>
  <si>
    <t>MIRR</t>
  </si>
  <si>
    <t>gender</t>
  </si>
  <si>
    <t>Sum of Count</t>
  </si>
  <si>
    <t>Female</t>
  </si>
  <si>
    <t>Male</t>
  </si>
  <si>
    <t>(blank)</t>
  </si>
  <si>
    <t>Grand Total</t>
  </si>
  <si>
    <t>Avenue</t>
  </si>
  <si>
    <t>Equity</t>
  </si>
  <si>
    <t>Fixed Deposits</t>
  </si>
  <si>
    <t>Mutual Fund</t>
  </si>
  <si>
    <t>Public Provident Fund</t>
  </si>
  <si>
    <t>Count of gender</t>
  </si>
  <si>
    <t>Sum of Equity_Market</t>
  </si>
  <si>
    <t>Sum of Gold</t>
  </si>
  <si>
    <t>Invest_Monitor</t>
  </si>
  <si>
    <t>Daily</t>
  </si>
  <si>
    <t>Monthly</t>
  </si>
  <si>
    <t>Weekly</t>
  </si>
  <si>
    <t>InvestorCount</t>
  </si>
  <si>
    <t>age</t>
  </si>
  <si>
    <t>age_group</t>
  </si>
  <si>
    <t>Risk Category</t>
  </si>
  <si>
    <t>Investor's Persona</t>
  </si>
  <si>
    <t>Investment_Avenues</t>
  </si>
  <si>
    <t>Mutual_Funds</t>
  </si>
  <si>
    <t>Equity_Market</t>
  </si>
  <si>
    <t>Debentures</t>
  </si>
  <si>
    <t>Government_Bonds</t>
  </si>
  <si>
    <t>Fixed_Deposits</t>
  </si>
  <si>
    <t>PPF</t>
  </si>
  <si>
    <t>Gold</t>
  </si>
  <si>
    <t>Stock_Marktet</t>
  </si>
  <si>
    <t>Factor</t>
  </si>
  <si>
    <t>Objective</t>
  </si>
  <si>
    <t>Purpose</t>
  </si>
  <si>
    <t>Duration</t>
  </si>
  <si>
    <t>Expect</t>
  </si>
  <si>
    <t>What are your savings objectives?</t>
  </si>
  <si>
    <t>Reason_Equity</t>
  </si>
  <si>
    <t>Reason_Mutual</t>
  </si>
  <si>
    <t>Reason_Bonds</t>
  </si>
  <si>
    <t>Reason_FD</t>
  </si>
  <si>
    <t>Source</t>
  </si>
  <si>
    <t>Yes</t>
  </si>
  <si>
    <t>Returns</t>
  </si>
  <si>
    <t>Capital Appreciation</t>
  </si>
  <si>
    <t>Wealth Creation</t>
  </si>
  <si>
    <t>1-3 years</t>
  </si>
  <si>
    <t>20%-30%</t>
  </si>
  <si>
    <t>Retirement Plan</t>
  </si>
  <si>
    <t>Better Returns</t>
  </si>
  <si>
    <t>Safe Investment</t>
  </si>
  <si>
    <t>Fixed Returns</t>
  </si>
  <si>
    <t>Newspapers and Magazines</t>
  </si>
  <si>
    <t>No</t>
  </si>
  <si>
    <t>Locking Period</t>
  </si>
  <si>
    <t>More than 5 years</t>
  </si>
  <si>
    <t>Health Care</t>
  </si>
  <si>
    <t>Dividend</t>
  </si>
  <si>
    <t>High Interest Rates</t>
  </si>
  <si>
    <t>Financial Consultants</t>
  </si>
  <si>
    <t>3-5 years</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</si>
  <si>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</si>
  <si>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</si>
  <si>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</si>
  <si>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</si>
  <si>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</si>
  <si>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</si>
  <si>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</si>
  <si>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</si>
  <si>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</si>
  <si>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</si>
  <si>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</si>
  <si>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</si>
  <si>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</si>
  <si>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</si>
  <si>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</si>
  <si>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Education</t>
  </si>
  <si>
    <t>1. How many investors are present in the dataset?</t>
  </si>
  <si>
    <t>Count of InvestorCount</t>
  </si>
  <si>
    <t>2. What is the gender-wise distribution of investors?</t>
  </si>
  <si>
    <t>3. What is the average age of investors?</t>
  </si>
  <si>
    <t>MUTUAL FUND IS MOST PREFERRED OF ALL</t>
  </si>
  <si>
    <t>4. Which investment avenue is most preferred overall?</t>
  </si>
  <si>
    <t>5. Count how many people invest in: a. Mutual Funds b. Equity Market c. Fixed Deposits</t>
  </si>
  <si>
    <t>6. Create a pivot table showing Investment Avenue vs Gender.</t>
  </si>
  <si>
    <t>7.Identify the top 3 savings objectives.</t>
  </si>
  <si>
    <t>8. Create a chart showing preference for Gold vs Equity.</t>
  </si>
  <si>
    <t>9. What percentage of investors monitor their investments regularly?</t>
  </si>
  <si>
    <t>10. Highlight investors above age 50 using conditional formatting.</t>
  </si>
  <si>
    <t>Done(Noone Above Age 50)</t>
  </si>
  <si>
    <t>1. Create a pivot table showing investment avenue by gender.</t>
  </si>
  <si>
    <t>2. Analyze age group vs preferred investment avenue.</t>
  </si>
  <si>
    <t>Adults</t>
  </si>
  <si>
    <t>Adults Total</t>
  </si>
  <si>
    <t>Mature Adults</t>
  </si>
  <si>
    <t>Mature Adults Total</t>
  </si>
  <si>
    <t>Young Adult</t>
  </si>
  <si>
    <t>Young Adult Total</t>
  </si>
  <si>
    <t>3. Calculate percentage of investors choosing low-risk options.</t>
  </si>
  <si>
    <t>LowRisk Optiions Are Generally Fixed Deposits &amp; Public Provident Fund so</t>
  </si>
  <si>
    <t>No Total</t>
  </si>
  <si>
    <t>Yes Total</t>
  </si>
  <si>
    <t>Low Risk</t>
  </si>
  <si>
    <t>GrandTotal</t>
  </si>
  <si>
    <t>4. Compare objectives with actual investment choices.</t>
  </si>
  <si>
    <t>5. Create dashboard with slicers for gender and age group.</t>
  </si>
  <si>
    <t>6. Identify relationship between duration and investment type.</t>
  </si>
  <si>
    <t>Sum of InvestorCount</t>
  </si>
  <si>
    <t>1-3 years Total</t>
  </si>
  <si>
    <t>3-5 years Total</t>
  </si>
  <si>
    <t>Less than 1 year Total</t>
  </si>
  <si>
    <t>More than 5 years Total</t>
  </si>
  <si>
    <t>7. Use conditional formatting to highlight high expected return.</t>
  </si>
  <si>
    <t>Done In Table</t>
  </si>
  <si>
    <t>8. Analyze monitoring frequency vs age.</t>
  </si>
  <si>
    <t>Count of age</t>
  </si>
  <si>
    <t>9. Compare reasons for choosing Equity vs Mutual Funds.</t>
  </si>
  <si>
    <t>Better Returns Total</t>
  </si>
  <si>
    <t>Fund Diversification Total</t>
  </si>
  <si>
    <t>Tax Benefits Total</t>
  </si>
  <si>
    <t>10. Identify mismatch between objective and actual avenue chosen.</t>
  </si>
  <si>
    <t>Most investors selected investment options that matched their financial goals, while a few preferred safer alternatives despite aiming for higher growth.</t>
  </si>
  <si>
    <t>Dashboard with slicers for gender and age group</t>
  </si>
  <si>
    <t>Female Total</t>
  </si>
  <si>
    <t>Male Total</t>
  </si>
  <si>
    <t>1. Build a dynamic dashboard for investor profiling.</t>
  </si>
  <si>
    <t>Done</t>
  </si>
  <si>
    <t>2. Segment investors into risk categories.</t>
  </si>
  <si>
    <t>High Risk</t>
  </si>
  <si>
    <t>Medium Risk</t>
  </si>
  <si>
    <t>3. Perform what-if analysis on expected returns.</t>
  </si>
  <si>
    <t>Investment Amount</t>
  </si>
  <si>
    <t>Expected Return</t>
  </si>
  <si>
    <t>Final Value</t>
  </si>
  <si>
    <t>₹100,000</t>
  </si>
  <si>
    <t>Higher expected returns result in higher final investment values, demonstrating the potential impact of different return scenarios.</t>
  </si>
  <si>
    <t>4. Predict preferred investment avenue based on age and objective.</t>
  </si>
  <si>
    <t>Age Group</t>
  </si>
  <si>
    <t>Predicted Investment Avenue</t>
  </si>
  <si>
    <r>
      <t>Mutual Fund</t>
    </r>
    <r>
      <rPr>
        <sz val="11"/>
        <color theme="1"/>
        <rFont val="Calibri"/>
        <family val="2"/>
        <scheme val="minor"/>
      </rPr>
      <t xml:space="preserve"> (8)</t>
    </r>
  </si>
  <si>
    <r>
      <t>Fixed Deposits / Mutual Fund</t>
    </r>
    <r>
      <rPr>
        <sz val="11"/>
        <color theme="1"/>
        <rFont val="Calibri"/>
        <family val="2"/>
        <scheme val="minor"/>
      </rPr>
      <t xml:space="preserve"> (Tie: 2 each)</t>
    </r>
  </si>
  <si>
    <r>
      <rPr>
        <b/>
        <sz val="11"/>
        <color rgb="FF000000"/>
        <rFont val="Calibri"/>
        <scheme val="minor"/>
      </rPr>
      <t>Fixed Deposits</t>
    </r>
    <r>
      <rPr>
        <sz val="11"/>
        <color rgb="FF000000"/>
        <rFont val="Calibri"/>
        <scheme val="minor"/>
      </rPr>
      <t xml:space="preserve"> (2)</t>
    </r>
  </si>
  <si>
    <r>
      <t>Equity / Mutual Fund</t>
    </r>
    <r>
      <rPr>
        <sz val="11"/>
        <color theme="1"/>
        <rFont val="Calibri"/>
        <family val="2"/>
        <scheme val="minor"/>
      </rPr>
      <t xml:space="preserve"> (Tie: 2 each)</t>
    </r>
  </si>
  <si>
    <t>Capital Appreciation Total</t>
  </si>
  <si>
    <r>
      <t>Mutual Fund</t>
    </r>
    <r>
      <rPr>
        <sz val="11"/>
        <color theme="1"/>
        <rFont val="Calibri"/>
        <family val="2"/>
        <scheme val="minor"/>
      </rPr>
      <t xml:space="preserve"> (1)</t>
    </r>
  </si>
  <si>
    <r>
      <t>Mutual Fund</t>
    </r>
    <r>
      <rPr>
        <sz val="11"/>
        <color theme="1"/>
        <rFont val="Calibri"/>
        <family val="2"/>
        <scheme val="minor"/>
      </rPr>
      <t xml:space="preserve"> (4)</t>
    </r>
  </si>
  <si>
    <r>
      <t>Public Provident Fund</t>
    </r>
    <r>
      <rPr>
        <sz val="11"/>
        <color theme="1"/>
        <rFont val="Calibri"/>
        <family val="2"/>
        <scheme val="minor"/>
      </rPr>
      <t xml:space="preserve"> (2)</t>
    </r>
  </si>
  <si>
    <t>Growth Total</t>
  </si>
  <si>
    <r>
      <t>Equity</t>
    </r>
    <r>
      <rPr>
        <sz val="11"/>
        <color theme="1"/>
        <rFont val="Calibri"/>
        <family val="2"/>
        <scheme val="minor"/>
      </rPr>
      <t xml:space="preserve"> (2)</t>
    </r>
  </si>
  <si>
    <t>Income Total</t>
  </si>
  <si>
    <t>5. Create investor personas using clustering logic.</t>
  </si>
  <si>
    <t>Aggressive Investor</t>
  </si>
  <si>
    <t>Balanced Investor</t>
  </si>
  <si>
    <t>Conservative Investor</t>
  </si>
  <si>
    <t>6. Design automated investment recommendation sheet.</t>
  </si>
  <si>
    <t>7. Analyse behavioural bias in investment decisions.</t>
  </si>
  <si>
    <t>Dividend Total</t>
  </si>
  <si>
    <t>Liquidity Total</t>
  </si>
  <si>
    <t>Most investors are influenced by the expectation of better returns, indicating a return-seeking behavioural bias.</t>
  </si>
  <si>
    <t>8. Create scenario-based investment outcome model.</t>
  </si>
  <si>
    <t>Scenario</t>
  </si>
  <si>
    <t>Return</t>
  </si>
  <si>
    <t>Final Amount</t>
  </si>
  <si>
    <t>Conservative</t>
  </si>
  <si>
    <t>Moderate</t>
  </si>
  <si>
    <t>Aggressive</t>
  </si>
  <si>
    <t>As the expected return increases from Conservative to Aggressive scenarios, the final investment value also increases.</t>
  </si>
  <si>
    <t>9. Build executive summary with insights.</t>
  </si>
  <si>
    <t>Recommendation</t>
  </si>
  <si>
    <t>Field</t>
  </si>
  <si>
    <t>Input</t>
  </si>
  <si>
    <t>Recommended Investment</t>
  </si>
  <si>
    <t>Executive Summary</t>
  </si>
  <si>
    <t>Project Overview</t>
  </si>
  <si>
    <t>This dashboard analyzes investor preferences, objectives, risk appetite, and investment behavior to identify trends and support investment decision-making.</t>
  </si>
  <si>
    <t>Key Insights</t>
  </si>
  <si>
    <t>👥 Total Investors: 40</t>
  </si>
  <si>
    <t>📈 Most Preferred Investment: Mutual Fund</t>
  </si>
  <si>
    <t>🎯 Top Investment Objective: Capital Appreciation</t>
  </si>
  <si>
    <t>👨 Majority of investors are Male.</t>
  </si>
  <si>
    <t>👥 Adults form the largest investor age group.</t>
  </si>
  <si>
    <t>⚖️ Most investors fall into the Medium Risk category.</t>
  </si>
  <si>
    <t>📅 Monthly is the most preferred investment monitoring frequency.</t>
  </si>
  <si>
    <t>💰 20%–30% is the most expected return range.</t>
  </si>
  <si>
    <t>🧠 Better Returns is the strongest factor influencing investment decisions.</t>
  </si>
  <si>
    <t>💼 Most investment choices align with investors' financial objectives.</t>
  </si>
  <si>
    <t>Recommendations</t>
  </si>
  <si>
    <r>
      <t xml:space="preserve">Increase awareness of </t>
    </r>
    <r>
      <rPr>
        <b/>
        <sz val="11"/>
        <color theme="1"/>
        <rFont val="Amasis MT Pro"/>
      </rPr>
      <t>Mutual Funds</t>
    </r>
    <r>
      <rPr>
        <sz val="11"/>
        <color theme="1"/>
        <rFont val="Amasis MT Pro"/>
      </rPr>
      <t xml:space="preserve"> for investors seeking long-term capital appreciation.</t>
    </r>
  </si>
  <si>
    <r>
      <t xml:space="preserve">Promote </t>
    </r>
    <r>
      <rPr>
        <b/>
        <sz val="11"/>
        <color theme="1"/>
        <rFont val="Amasis MT Pro"/>
      </rPr>
      <t>Equity</t>
    </r>
    <r>
      <rPr>
        <sz val="11"/>
        <color theme="1"/>
        <rFont val="Amasis MT Pro"/>
      </rPr>
      <t xml:space="preserve"> to high-risk investors with growth-oriented objectives.</t>
    </r>
  </si>
  <si>
    <r>
      <t xml:space="preserve">Recommend </t>
    </r>
    <r>
      <rPr>
        <b/>
        <sz val="11"/>
        <color theme="1"/>
        <rFont val="Amasis MT Pro"/>
      </rPr>
      <t>Fixed Deposits</t>
    </r>
    <r>
      <rPr>
        <sz val="11"/>
        <color theme="1"/>
        <rFont val="Amasis MT Pro"/>
      </rPr>
      <t xml:space="preserve"> and </t>
    </r>
    <r>
      <rPr>
        <b/>
        <sz val="11"/>
        <color theme="1"/>
        <rFont val="Amasis MT Pro"/>
      </rPr>
      <t>Public Provident Fund (PPF)</t>
    </r>
    <r>
      <rPr>
        <sz val="11"/>
        <color theme="1"/>
        <rFont val="Amasis MT Pro"/>
      </rPr>
      <t xml:space="preserve"> to conservative investors who prioritize safety and stable returns.</t>
    </r>
  </si>
  <si>
    <t>Continue providing educational resources, as expected returns strongly influence investor decisions.</t>
  </si>
  <si>
    <t>Conclusion</t>
  </si>
  <si>
    <t>The analysis shows that Mutual Funds are the most preferred investment avenue, with Capital Appreciation being the primary objective. Most investors exhibit medium risk tolerance and make investment decisions based on the expectation of better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</si>
</sst>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Red]&quot;₹&quot;\ \-#,##0"/>
    <numFmt numFmtId="165" formatCode="&quot;₹&quot;\ #,##0.00;[Red]&quot;₹&quot;\ \-#,##0.00"/>
    <numFmt numFmtId="166" formatCode="dd\/mmm\/yyyy"/>
    <numFmt numFmtId="167" formatCode="d\/m\/yyyy"/>
    <numFmt numFmtId="168" formatCode="[$$-45C]#,##0.00"/>
  </numFmts>
  <fonts count="24">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
      <sz val="11"/>
      <color rgb="FF9C5700"/>
      <name val="Calibri"/>
      <family val="2"/>
    </font>
    <font>
      <sz val="11"/>
      <color rgb="FF000000"/>
      <name val="Calibri"/>
      <family val="2"/>
    </font>
    <font>
      <b/>
      <sz val="18"/>
      <color rgb="FF000000"/>
      <name val="Calibri"/>
      <scheme val="minor"/>
    </font>
    <font>
      <b/>
      <sz val="36"/>
      <color rgb="FF000000"/>
      <name val="Bahnschrift"/>
    </font>
    <font>
      <b/>
      <sz val="11"/>
      <color rgb="FF000000"/>
      <name val="Calibri"/>
      <scheme val="minor"/>
    </font>
    <font>
      <sz val="11"/>
      <color rgb="FF000000"/>
      <name val="Calibri"/>
      <scheme val="minor"/>
    </font>
    <font>
      <i/>
      <sz val="11"/>
      <color theme="1"/>
      <name val="Calibri"/>
      <family val="2"/>
      <scheme val="minor"/>
    </font>
    <font>
      <b/>
      <sz val="13.5"/>
      <color theme="1"/>
      <name val="Calibri"/>
      <family val="2"/>
      <scheme val="minor"/>
    </font>
    <font>
      <b/>
      <sz val="11"/>
      <color theme="1"/>
      <name val="Amasis MT Pro"/>
    </font>
    <font>
      <b/>
      <sz val="13.5"/>
      <color theme="7"/>
      <name val="Amasis MT Pro"/>
    </font>
    <font>
      <b/>
      <sz val="11"/>
      <color theme="7"/>
      <name val="Amasis MT Pro"/>
    </font>
    <font>
      <b/>
      <sz val="18"/>
      <color rgb="FFFF0000"/>
      <name val="Calibri"/>
      <family val="2"/>
      <scheme val="minor"/>
    </font>
    <font>
      <sz val="11"/>
      <color rgb="FFFF0000"/>
      <name val="Calibri"/>
      <family val="2"/>
      <scheme val="minor"/>
    </font>
    <font>
      <b/>
      <sz val="13.5"/>
      <color theme="9" tint="-0.249977111117893"/>
      <name val="Calibri"/>
      <family val="2"/>
      <scheme val="minor"/>
    </font>
    <font>
      <sz val="11"/>
      <color theme="9" tint="-0.249977111117893"/>
      <name val="Calibri"/>
      <family val="2"/>
      <scheme val="minor"/>
    </font>
    <font>
      <sz val="11"/>
      <color theme="1"/>
      <name val="Amasis MT Pro"/>
    </font>
    <font>
      <b/>
      <sz val="13.5"/>
      <color theme="5" tint="-0.249977111117893"/>
      <name val="Calibri"/>
      <family val="2"/>
      <scheme val="minor"/>
    </font>
    <font>
      <b/>
      <sz val="11"/>
      <color rgb="FF000000"/>
      <name val="Calibri"/>
      <family val="2"/>
    </font>
  </fonts>
  <fills count="4">
    <fill>
      <patternFill patternType="none"/>
    </fill>
    <fill>
      <patternFill patternType="gray125"/>
    </fill>
    <fill>
      <patternFill patternType="solid">
        <fgColor theme="1"/>
        <bgColor indexed="64"/>
      </patternFill>
    </fill>
    <fill>
      <patternFill patternType="solid">
        <fgColor rgb="FFFFEB9C"/>
        <bgColor rgb="FF000000"/>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127">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164"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165" fontId="2" fillId="2" borderId="1" xfId="0" applyNumberFormat="1" applyFont="1" applyFill="1" applyBorder="1" applyAlignment="1">
      <alignment horizontal="center"/>
    </xf>
    <xf numFmtId="165" fontId="1" fillId="2" borderId="1" xfId="0" applyNumberFormat="1" applyFont="1"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165"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165"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65"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8" fontId="0" fillId="0" borderId="15" xfId="0" applyNumberFormat="1" applyBorder="1" applyAlignment="1">
      <alignment horizontal="center"/>
    </xf>
    <xf numFmtId="168" fontId="0" fillId="0" borderId="10"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6" fillId="3" borderId="0" xfId="0" applyFont="1" applyFill="1"/>
    <xf numFmtId="0" fontId="7" fillId="0" borderId="0" xfId="0" applyFont="1"/>
    <xf numFmtId="0" fontId="0" fillId="0" borderId="0" xfId="0" pivotButton="1"/>
    <xf numFmtId="9" fontId="0" fillId="0" borderId="0" xfId="0" applyNumberFormat="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8" fillId="0" borderId="0" xfId="0" applyFont="1"/>
    <xf numFmtId="0" fontId="1" fillId="0" borderId="0" xfId="0" applyFont="1"/>
    <xf numFmtId="0" fontId="10" fillId="0" borderId="0" xfId="0" applyFont="1"/>
    <xf numFmtId="0" fontId="12" fillId="0" borderId="0" xfId="0" applyFont="1"/>
    <xf numFmtId="2" fontId="0" fillId="0" borderId="0" xfId="0" applyNumberForma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0" fillId="0" borderId="0" xfId="0" pivotButton="1" applyAlignment="1">
      <alignment horizontal="center"/>
    </xf>
    <xf numFmtId="0" fontId="23" fillId="0" borderId="0" xfId="0" applyFont="1"/>
    <xf numFmtId="9" fontId="1" fillId="0" borderId="0" xfId="0" applyNumberFormat="1" applyFont="1"/>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9" fillId="0" borderId="0" xfId="0" applyFont="1" applyAlignment="1">
      <alignment horizontal="center"/>
    </xf>
    <xf numFmtId="0" fontId="0" fillId="0" borderId="0" xfId="0" applyAlignment="1">
      <alignment horizontal="center"/>
    </xf>
  </cellXfs>
  <cellStyles count="1">
    <cellStyle name="Normal" xfId="0" builtinId="0"/>
  </cellStyles>
  <dxfs count="69">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3" formatCode="0%"/>
    </dxf>
    <dxf>
      <numFmt numFmtId="2" formatCode="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3" formatCode="0%"/>
    </dxf>
    <dxf>
      <font>
        <b/>
        <i val="0"/>
        <strike val="0"/>
        <condense val="0"/>
        <extend val="0"/>
        <outline val="0"/>
        <shadow val="0"/>
        <u val="none"/>
        <vertAlign val="baseline"/>
        <sz val="11"/>
        <color theme="1"/>
        <name val="Calibri"/>
        <family val="2"/>
        <scheme val="minor"/>
      </font>
    </dxf>
    <dxf>
      <numFmt numFmtId="14" formatCode="0.0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9C5700"/>
        <name val="Calibri"/>
        <family val="2"/>
        <scheme val="none"/>
      </font>
      <fill>
        <patternFill patternType="solid">
          <fgColor rgb="FF000000"/>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13"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3" formatCode="0%"/>
    </dxf>
  </dxfs>
  <tableStyles count="0" defaultTableStyle="TableStyleMedium2" defaultPivotStyle="PivotStyleLight16"/>
  <colors>
    <mruColors>
      <color rgb="FF2A7E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(1).xlsx]Pivot!PivotTable4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Pivot!$G$20:$G$24</c:f>
              <c:strCache>
                <c:ptCount val="4"/>
                <c:pt idx="0">
                  <c:v>Equity</c:v>
                </c:pt>
                <c:pt idx="1">
                  <c:v>Fixed Deposits</c:v>
                </c:pt>
                <c:pt idx="2">
                  <c:v>Mutual Fund</c:v>
                </c:pt>
                <c:pt idx="3">
                  <c:v>Public Provident Fund</c:v>
                </c:pt>
              </c:strCache>
            </c:strRef>
          </c:cat>
          <c:val>
            <c:numRef>
              <c:f>Pivot!$H$20:$H$24</c:f>
              <c:numCache>
                <c:formatCode>General</c:formatCode>
                <c:ptCount val="4"/>
                <c:pt idx="0">
                  <c:v>10</c:v>
                </c:pt>
                <c:pt idx="1">
                  <c:v>9</c:v>
                </c:pt>
                <c:pt idx="2">
                  <c:v>18</c:v>
                </c:pt>
                <c:pt idx="3">
                  <c:v>3</c:v>
                </c:pt>
              </c:numCache>
            </c:numRef>
          </c:val>
          <c:smooth val="0"/>
          <c:extLst>
            <c:ext xmlns:c16="http://schemas.microsoft.com/office/drawing/2014/chart" uri="{C3380CC4-5D6E-409C-BE32-E72D297353CC}">
              <c16:uniqueId val="{00000000-926D-495C-BC58-8C4580BFF282}"/>
            </c:ext>
          </c:extLst>
        </c:ser>
        <c:dLbls>
          <c:showLegendKey val="0"/>
          <c:showVal val="0"/>
          <c:showCatName val="0"/>
          <c:showSerName val="0"/>
          <c:showPercent val="0"/>
          <c:showBubbleSize val="0"/>
        </c:dLbls>
        <c:marker val="1"/>
        <c:smooth val="0"/>
        <c:axId val="783101959"/>
        <c:axId val="783104007"/>
      </c:lineChart>
      <c:catAx>
        <c:axId val="783101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04007"/>
        <c:crosses val="autoZero"/>
        <c:auto val="1"/>
        <c:lblAlgn val="ctr"/>
        <c:lblOffset val="100"/>
        <c:noMultiLvlLbl val="0"/>
      </c:catAx>
      <c:valAx>
        <c:axId val="783104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01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(1).xlsx]Pivot!PivotTable4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Pivot!$G$20:$G$24</c:f>
              <c:strCache>
                <c:ptCount val="4"/>
                <c:pt idx="0">
                  <c:v>Equity</c:v>
                </c:pt>
                <c:pt idx="1">
                  <c:v>Fixed Deposits</c:v>
                </c:pt>
                <c:pt idx="2">
                  <c:v>Mutual Fund</c:v>
                </c:pt>
                <c:pt idx="3">
                  <c:v>Public Provident Fund</c:v>
                </c:pt>
              </c:strCache>
            </c:strRef>
          </c:cat>
          <c:val>
            <c:numRef>
              <c:f>Pivot!$H$20:$H$24</c:f>
              <c:numCache>
                <c:formatCode>General</c:formatCode>
                <c:ptCount val="4"/>
                <c:pt idx="0">
                  <c:v>10</c:v>
                </c:pt>
                <c:pt idx="1">
                  <c:v>9</c:v>
                </c:pt>
                <c:pt idx="2">
                  <c:v>18</c:v>
                </c:pt>
                <c:pt idx="3">
                  <c:v>3</c:v>
                </c:pt>
              </c:numCache>
            </c:numRef>
          </c:val>
          <c:smooth val="0"/>
          <c:extLst>
            <c:ext xmlns:c16="http://schemas.microsoft.com/office/drawing/2014/chart" uri="{C3380CC4-5D6E-409C-BE32-E72D297353CC}">
              <c16:uniqueId val="{00000000-DFC8-40C7-977D-BEB9576D9E49}"/>
            </c:ext>
          </c:extLst>
        </c:ser>
        <c:dLbls>
          <c:showLegendKey val="0"/>
          <c:showVal val="0"/>
          <c:showCatName val="0"/>
          <c:showSerName val="0"/>
          <c:showPercent val="0"/>
          <c:showBubbleSize val="0"/>
        </c:dLbls>
        <c:marker val="1"/>
        <c:smooth val="0"/>
        <c:axId val="783101959"/>
        <c:axId val="783104007"/>
      </c:lineChart>
      <c:catAx>
        <c:axId val="783101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04007"/>
        <c:crosses val="autoZero"/>
        <c:auto val="1"/>
        <c:lblAlgn val="ctr"/>
        <c:lblOffset val="100"/>
        <c:noMultiLvlLbl val="0"/>
      </c:catAx>
      <c:valAx>
        <c:axId val="783104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101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(1).xlsx]Pivot!PivotTable6</c:name>
    <c:fmtId val="19"/>
  </c:pivotSource>
  <c:chart>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Pivot!$G$46</c:f>
              <c:strCache>
                <c:ptCount val="1"/>
                <c:pt idx="0">
                  <c:v>Sum of Equity_Market</c:v>
                </c:pt>
              </c:strCache>
            </c:strRef>
          </c:tx>
          <c:spPr>
            <a:solidFill>
              <a:schemeClr val="accent1"/>
            </a:solidFill>
            <a:ln w="19050">
              <a:solidFill>
                <a:schemeClr val="lt1"/>
              </a:solidFill>
            </a:ln>
            <a:effectLst/>
          </c:spPr>
          <c:invertIfNegative val="0"/>
          <c:cat>
            <c:strRef>
              <c:f>Pivot!$G$47</c:f>
              <c:strCache>
                <c:ptCount val="1"/>
                <c:pt idx="0">
                  <c:v>Total</c:v>
                </c:pt>
              </c:strCache>
            </c:strRef>
          </c:cat>
          <c:val>
            <c:numRef>
              <c:f>Pivot!$G$47</c:f>
              <c:numCache>
                <c:formatCode>General</c:formatCode>
                <c:ptCount val="1"/>
                <c:pt idx="0">
                  <c:v>139</c:v>
                </c:pt>
              </c:numCache>
            </c:numRef>
          </c:val>
          <c:extLst>
            <c:ext xmlns:c16="http://schemas.microsoft.com/office/drawing/2014/chart" uri="{C3380CC4-5D6E-409C-BE32-E72D297353CC}">
              <c16:uniqueId val="{00000007-2041-43BB-933B-D23F7DA6279D}"/>
            </c:ext>
          </c:extLst>
        </c:ser>
        <c:ser>
          <c:idx val="1"/>
          <c:order val="1"/>
          <c:tx>
            <c:strRef>
              <c:f>Pivot!$H$46</c:f>
              <c:strCache>
                <c:ptCount val="1"/>
                <c:pt idx="0">
                  <c:v>Sum of Gold</c:v>
                </c:pt>
              </c:strCache>
            </c:strRef>
          </c:tx>
          <c:spPr>
            <a:solidFill>
              <a:schemeClr val="accent2"/>
            </a:solidFill>
            <a:ln w="19050">
              <a:solidFill>
                <a:schemeClr val="lt1"/>
              </a:solidFill>
            </a:ln>
            <a:effectLst/>
          </c:spPr>
          <c:invertIfNegative val="0"/>
          <c:cat>
            <c:strRef>
              <c:f>Pivot!$G$47</c:f>
              <c:strCache>
                <c:ptCount val="1"/>
                <c:pt idx="0">
                  <c:v>Total</c:v>
                </c:pt>
              </c:strCache>
            </c:strRef>
          </c:cat>
          <c:val>
            <c:numRef>
              <c:f>Pivot!$H$47</c:f>
              <c:numCache>
                <c:formatCode>General</c:formatCode>
                <c:ptCount val="1"/>
                <c:pt idx="0">
                  <c:v>239</c:v>
                </c:pt>
              </c:numCache>
            </c:numRef>
          </c:val>
          <c:extLst>
            <c:ext xmlns:c16="http://schemas.microsoft.com/office/drawing/2014/chart" uri="{C3380CC4-5D6E-409C-BE32-E72D297353CC}">
              <c16:uniqueId val="{0000000B-2041-43BB-933B-D23F7DA6279D}"/>
            </c:ext>
          </c:extLst>
        </c:ser>
        <c:dLbls>
          <c:showLegendKey val="0"/>
          <c:showVal val="0"/>
          <c:showCatName val="0"/>
          <c:showSerName val="0"/>
          <c:showPercent val="0"/>
          <c:showBubbleSize val="0"/>
        </c:dLbls>
        <c:gapWidth val="150"/>
        <c:axId val="781350407"/>
        <c:axId val="781374983"/>
      </c:barChart>
      <c:catAx>
        <c:axId val="781350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4983"/>
        <c:crosses val="autoZero"/>
        <c:auto val="1"/>
        <c:lblAlgn val="ctr"/>
        <c:lblOffset val="100"/>
        <c:noMultiLvlLbl val="0"/>
      </c:catAx>
      <c:valAx>
        <c:axId val="781374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50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(1).xlsx]Pivot!PivotTable6</c:name>
    <c:fmtId val="23"/>
  </c:pivotSource>
  <c:chart>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Pivot!$G$46</c:f>
              <c:strCache>
                <c:ptCount val="1"/>
                <c:pt idx="0">
                  <c:v>Sum of Equity_Market</c:v>
                </c:pt>
              </c:strCache>
            </c:strRef>
          </c:tx>
          <c:spPr>
            <a:solidFill>
              <a:schemeClr val="accent1"/>
            </a:solidFill>
            <a:ln w="19050">
              <a:solidFill>
                <a:schemeClr val="lt1"/>
              </a:solidFill>
            </a:ln>
            <a:effectLst/>
          </c:spPr>
          <c:invertIfNegative val="0"/>
          <c:cat>
            <c:strRef>
              <c:f>Pivot!$G$47</c:f>
              <c:strCache>
                <c:ptCount val="1"/>
                <c:pt idx="0">
                  <c:v>Total</c:v>
                </c:pt>
              </c:strCache>
            </c:strRef>
          </c:cat>
          <c:val>
            <c:numRef>
              <c:f>Pivot!$G$47</c:f>
              <c:numCache>
                <c:formatCode>General</c:formatCode>
                <c:ptCount val="1"/>
                <c:pt idx="0">
                  <c:v>139</c:v>
                </c:pt>
              </c:numCache>
            </c:numRef>
          </c:val>
          <c:extLst>
            <c:ext xmlns:c16="http://schemas.microsoft.com/office/drawing/2014/chart" uri="{C3380CC4-5D6E-409C-BE32-E72D297353CC}">
              <c16:uniqueId val="{00000000-C14E-4DD4-B2FA-0E0A10D49C16}"/>
            </c:ext>
          </c:extLst>
        </c:ser>
        <c:ser>
          <c:idx val="1"/>
          <c:order val="1"/>
          <c:tx>
            <c:strRef>
              <c:f>Pivot!$H$46</c:f>
              <c:strCache>
                <c:ptCount val="1"/>
                <c:pt idx="0">
                  <c:v>Sum of Gold</c:v>
                </c:pt>
              </c:strCache>
            </c:strRef>
          </c:tx>
          <c:spPr>
            <a:solidFill>
              <a:schemeClr val="accent2"/>
            </a:solidFill>
            <a:ln w="19050">
              <a:solidFill>
                <a:schemeClr val="lt1"/>
              </a:solidFill>
            </a:ln>
            <a:effectLst/>
          </c:spPr>
          <c:invertIfNegative val="0"/>
          <c:cat>
            <c:strRef>
              <c:f>Pivot!$G$47</c:f>
              <c:strCache>
                <c:ptCount val="1"/>
                <c:pt idx="0">
                  <c:v>Total</c:v>
                </c:pt>
              </c:strCache>
            </c:strRef>
          </c:cat>
          <c:val>
            <c:numRef>
              <c:f>Pivot!$H$47</c:f>
              <c:numCache>
                <c:formatCode>General</c:formatCode>
                <c:ptCount val="1"/>
                <c:pt idx="0">
                  <c:v>239</c:v>
                </c:pt>
              </c:numCache>
            </c:numRef>
          </c:val>
          <c:extLst>
            <c:ext xmlns:c16="http://schemas.microsoft.com/office/drawing/2014/chart" uri="{C3380CC4-5D6E-409C-BE32-E72D297353CC}">
              <c16:uniqueId val="{00000001-C14E-4DD4-B2FA-0E0A10D49C16}"/>
            </c:ext>
          </c:extLst>
        </c:ser>
        <c:dLbls>
          <c:showLegendKey val="0"/>
          <c:showVal val="0"/>
          <c:showCatName val="0"/>
          <c:showSerName val="0"/>
          <c:showPercent val="0"/>
          <c:showBubbleSize val="0"/>
        </c:dLbls>
        <c:gapWidth val="150"/>
        <c:axId val="781350407"/>
        <c:axId val="781374983"/>
      </c:barChart>
      <c:catAx>
        <c:axId val="781350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74983"/>
        <c:crosses val="autoZero"/>
        <c:auto val="1"/>
        <c:lblAlgn val="ctr"/>
        <c:lblOffset val="100"/>
        <c:noMultiLvlLbl val="0"/>
      </c:catAx>
      <c:valAx>
        <c:axId val="781374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50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(1).xlsx]IntermediateQuestion!PivotTable3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Relationship Between Duration &amp;Investment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IntermediateQuestion!$J$74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IntermediateQuestion!$H$75:$I$88</c:f>
              <c:multiLvlStrCache>
                <c:ptCount val="9"/>
                <c:lvl>
                  <c:pt idx="0">
                    <c:v>Equity</c:v>
                  </c:pt>
                  <c:pt idx="1">
                    <c:v>Fixed Deposits</c:v>
                  </c:pt>
                  <c:pt idx="2">
                    <c:v>Mutual Fund</c:v>
                  </c:pt>
                  <c:pt idx="3">
                    <c:v>Equity</c:v>
                  </c:pt>
                  <c:pt idx="4">
                    <c:v>Fixed Deposits</c:v>
                  </c:pt>
                  <c:pt idx="5">
                    <c:v>Mutual Fund</c:v>
                  </c:pt>
                  <c:pt idx="6">
                    <c:v>Public Provident Fund</c:v>
                  </c:pt>
                  <c:pt idx="7">
                    <c:v>Equity</c:v>
                  </c:pt>
                  <c:pt idx="8">
                    <c:v>Mutual Fund</c:v>
                  </c:pt>
                </c:lvl>
                <c:lvl>
                  <c:pt idx="0">
                    <c:v>1-3 years</c:v>
                  </c:pt>
                  <c:pt idx="3">
                    <c:v>3-5 years</c:v>
                  </c:pt>
                  <c:pt idx="7">
                    <c:v>Less than 1 year</c:v>
                  </c:pt>
                  <c:pt idx="8">
                    <c:v>More than 5 years</c:v>
                  </c:pt>
                </c:lvl>
              </c:multiLvlStrCache>
            </c:multiLvlStrRef>
          </c:cat>
          <c:val>
            <c:numRef>
              <c:f>IntermediateQuestion!$J$75:$J$88</c:f>
              <c:numCache>
                <c:formatCode>General</c:formatCode>
                <c:ptCount val="9"/>
                <c:pt idx="0">
                  <c:v>114</c:v>
                </c:pt>
                <c:pt idx="1">
                  <c:v>94</c:v>
                </c:pt>
                <c:pt idx="2">
                  <c:v>165</c:v>
                </c:pt>
                <c:pt idx="3">
                  <c:v>65</c:v>
                </c:pt>
                <c:pt idx="4">
                  <c:v>138</c:v>
                </c:pt>
                <c:pt idx="5">
                  <c:v>146</c:v>
                </c:pt>
                <c:pt idx="6">
                  <c:v>87</c:v>
                </c:pt>
                <c:pt idx="7">
                  <c:v>9</c:v>
                </c:pt>
                <c:pt idx="8">
                  <c:v>2</c:v>
                </c:pt>
              </c:numCache>
            </c:numRef>
          </c:val>
          <c:extLst>
            <c:ext xmlns:c16="http://schemas.microsoft.com/office/drawing/2014/chart" uri="{C3380CC4-5D6E-409C-BE32-E72D297353CC}">
              <c16:uniqueId val="{00000001-A56C-45A4-B360-2A3B44B16F43}"/>
            </c:ext>
          </c:extLst>
        </c:ser>
        <c:dLbls>
          <c:dLblPos val="outEnd"/>
          <c:showLegendKey val="0"/>
          <c:showVal val="1"/>
          <c:showCatName val="0"/>
          <c:showSerName val="0"/>
          <c:showPercent val="0"/>
          <c:showBubbleSize val="0"/>
        </c:dLbls>
        <c:gapWidth val="219"/>
        <c:overlap val="-27"/>
        <c:axId val="59564552"/>
        <c:axId val="59566600"/>
      </c:barChart>
      <c:catAx>
        <c:axId val="5956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566600"/>
        <c:crosses val="autoZero"/>
        <c:auto val="1"/>
        <c:lblAlgn val="ctr"/>
        <c:lblOffset val="100"/>
        <c:noMultiLvlLbl val="0"/>
      </c:catAx>
      <c:valAx>
        <c:axId val="59566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9564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(1).xlsx]IntermediateQuestion!PivotTable4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Monitoring Frequency Vs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IntermediateQuestion!$J$93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IntermediateQuestion!$H$94:$I$105</c:f>
              <c:multiLvlStrCache>
                <c:ptCount val="8"/>
                <c:lvl>
                  <c:pt idx="0">
                    <c:v>Daily</c:v>
                  </c:pt>
                  <c:pt idx="1">
                    <c:v>Monthly</c:v>
                  </c:pt>
                  <c:pt idx="2">
                    <c:v>Weekly</c:v>
                  </c:pt>
                  <c:pt idx="3">
                    <c:v>Monthly</c:v>
                  </c:pt>
                  <c:pt idx="4">
                    <c:v>Weekly</c:v>
                  </c:pt>
                  <c:pt idx="5">
                    <c:v>Daily</c:v>
                  </c:pt>
                  <c:pt idx="6">
                    <c:v>Monthly</c:v>
                  </c:pt>
                  <c:pt idx="7">
                    <c:v>Weekly</c:v>
                  </c:pt>
                </c:lvl>
                <c:lvl>
                  <c:pt idx="0">
                    <c:v>Adults</c:v>
                  </c:pt>
                  <c:pt idx="3">
                    <c:v>Mature Adults</c:v>
                  </c:pt>
                  <c:pt idx="5">
                    <c:v>Young Adult</c:v>
                  </c:pt>
                </c:lvl>
              </c:multiLvlStrCache>
            </c:multiLvlStrRef>
          </c:cat>
          <c:val>
            <c:numRef>
              <c:f>IntermediateQuestion!$J$94:$J$105</c:f>
              <c:numCache>
                <c:formatCode>General</c:formatCode>
                <c:ptCount val="8"/>
                <c:pt idx="0">
                  <c:v>1</c:v>
                </c:pt>
                <c:pt idx="1">
                  <c:v>18</c:v>
                </c:pt>
                <c:pt idx="2">
                  <c:v>2</c:v>
                </c:pt>
                <c:pt idx="3">
                  <c:v>7</c:v>
                </c:pt>
                <c:pt idx="4">
                  <c:v>2</c:v>
                </c:pt>
                <c:pt idx="5">
                  <c:v>3</c:v>
                </c:pt>
                <c:pt idx="6">
                  <c:v>4</c:v>
                </c:pt>
                <c:pt idx="7">
                  <c:v>3</c:v>
                </c:pt>
              </c:numCache>
            </c:numRef>
          </c:val>
          <c:extLst>
            <c:ext xmlns:c16="http://schemas.microsoft.com/office/drawing/2014/chart" uri="{C3380CC4-5D6E-409C-BE32-E72D297353CC}">
              <c16:uniqueId val="{00000000-4D0E-4FBB-86A8-F8E33D40C192}"/>
            </c:ext>
          </c:extLst>
        </c:ser>
        <c:dLbls>
          <c:dLblPos val="outEnd"/>
          <c:showLegendKey val="0"/>
          <c:showVal val="1"/>
          <c:showCatName val="0"/>
          <c:showSerName val="0"/>
          <c:showPercent val="0"/>
          <c:showBubbleSize val="0"/>
        </c:dLbls>
        <c:gapWidth val="182"/>
        <c:axId val="276952584"/>
        <c:axId val="276954632"/>
      </c:barChart>
      <c:catAx>
        <c:axId val="27695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6954632"/>
        <c:crosses val="autoZero"/>
        <c:auto val="1"/>
        <c:lblAlgn val="ctr"/>
        <c:lblOffset val="100"/>
        <c:noMultiLvlLbl val="0"/>
      </c:catAx>
      <c:valAx>
        <c:axId val="276954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6952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(1).xlsx]IntermediateQuestion!PivotTable5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Equity Vs Mutual Funds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IntermediateQuestion!$J$108:$J$109</c:f>
              <c:strCache>
                <c:ptCount val="1"/>
                <c:pt idx="0">
                  <c:v>Equity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IntermediateQuestion!$H$110:$I$119</c:f>
              <c:multiLvlStrCache>
                <c:ptCount val="6"/>
                <c:lvl>
                  <c:pt idx="0">
                    <c:v>Capital Appreciation</c:v>
                  </c:pt>
                  <c:pt idx="1">
                    <c:v>Dividend</c:v>
                  </c:pt>
                  <c:pt idx="2">
                    <c:v>Capital Appreciation</c:v>
                  </c:pt>
                  <c:pt idx="3">
                    <c:v>Dividend</c:v>
                  </c:pt>
                  <c:pt idx="4">
                    <c:v>Liquidity</c:v>
                  </c:pt>
                  <c:pt idx="5">
                    <c:v>Capital Appreciation</c:v>
                  </c:pt>
                </c:lvl>
                <c:lvl>
                  <c:pt idx="0">
                    <c:v>Better Returns</c:v>
                  </c:pt>
                  <c:pt idx="2">
                    <c:v>Fund Diversification</c:v>
                  </c:pt>
                  <c:pt idx="5">
                    <c:v>Tax Benefits</c:v>
                  </c:pt>
                </c:lvl>
              </c:multiLvlStrCache>
            </c:multiLvlStrRef>
          </c:cat>
          <c:val>
            <c:numRef>
              <c:f>IntermediateQuestion!$J$110:$J$119</c:f>
              <c:numCache>
                <c:formatCode>General</c:formatCode>
                <c:ptCount val="6"/>
                <c:pt idx="0">
                  <c:v>5</c:v>
                </c:pt>
                <c:pt idx="2">
                  <c:v>2</c:v>
                </c:pt>
                <c:pt idx="3">
                  <c:v>2</c:v>
                </c:pt>
                <c:pt idx="5">
                  <c:v>1</c:v>
                </c:pt>
              </c:numCache>
            </c:numRef>
          </c:val>
          <c:extLst>
            <c:ext xmlns:c16="http://schemas.microsoft.com/office/drawing/2014/chart" uri="{C3380CC4-5D6E-409C-BE32-E72D297353CC}">
              <c16:uniqueId val="{00000000-F20D-4239-81F4-2B7A8A4ECAE0}"/>
            </c:ext>
          </c:extLst>
        </c:ser>
        <c:ser>
          <c:idx val="1"/>
          <c:order val="1"/>
          <c:tx>
            <c:strRef>
              <c:f>IntermediateQuestion!$K$108:$K$109</c:f>
              <c:strCache>
                <c:ptCount val="1"/>
                <c:pt idx="0">
                  <c:v>Mutual Fund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IntermediateQuestion!$H$110:$I$119</c:f>
              <c:multiLvlStrCache>
                <c:ptCount val="6"/>
                <c:lvl>
                  <c:pt idx="0">
                    <c:v>Capital Appreciation</c:v>
                  </c:pt>
                  <c:pt idx="1">
                    <c:v>Dividend</c:v>
                  </c:pt>
                  <c:pt idx="2">
                    <c:v>Capital Appreciation</c:v>
                  </c:pt>
                  <c:pt idx="3">
                    <c:v>Dividend</c:v>
                  </c:pt>
                  <c:pt idx="4">
                    <c:v>Liquidity</c:v>
                  </c:pt>
                  <c:pt idx="5">
                    <c:v>Capital Appreciation</c:v>
                  </c:pt>
                </c:lvl>
                <c:lvl>
                  <c:pt idx="0">
                    <c:v>Better Returns</c:v>
                  </c:pt>
                  <c:pt idx="2">
                    <c:v>Fund Diversification</c:v>
                  </c:pt>
                  <c:pt idx="5">
                    <c:v>Tax Benefits</c:v>
                  </c:pt>
                </c:lvl>
              </c:multiLvlStrCache>
            </c:multiLvlStrRef>
          </c:cat>
          <c:val>
            <c:numRef>
              <c:f>IntermediateQuestion!$K$110:$K$119</c:f>
              <c:numCache>
                <c:formatCode>General</c:formatCode>
                <c:ptCount val="6"/>
                <c:pt idx="0">
                  <c:v>9</c:v>
                </c:pt>
                <c:pt idx="1">
                  <c:v>2</c:v>
                </c:pt>
                <c:pt idx="2">
                  <c:v>3</c:v>
                </c:pt>
                <c:pt idx="3">
                  <c:v>1</c:v>
                </c:pt>
                <c:pt idx="4">
                  <c:v>1</c:v>
                </c:pt>
                <c:pt idx="5">
                  <c:v>2</c:v>
                </c:pt>
              </c:numCache>
            </c:numRef>
          </c:val>
          <c:extLst>
            <c:ext xmlns:c16="http://schemas.microsoft.com/office/drawing/2014/chart" uri="{C3380CC4-5D6E-409C-BE32-E72D297353CC}">
              <c16:uniqueId val="{00000002-F20D-4239-81F4-2B7A8A4ECAE0}"/>
            </c:ext>
          </c:extLst>
        </c:ser>
        <c:dLbls>
          <c:dLblPos val="outEnd"/>
          <c:showLegendKey val="0"/>
          <c:showVal val="1"/>
          <c:showCatName val="0"/>
          <c:showSerName val="0"/>
          <c:showPercent val="0"/>
          <c:showBubbleSize val="0"/>
        </c:dLbls>
        <c:gapWidth val="219"/>
        <c:overlap val="-27"/>
        <c:axId val="232586760"/>
        <c:axId val="47853576"/>
      </c:barChart>
      <c:catAx>
        <c:axId val="23258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853576"/>
        <c:crosses val="autoZero"/>
        <c:auto val="1"/>
        <c:lblAlgn val="ctr"/>
        <c:lblOffset val="100"/>
        <c:noMultiLvlLbl val="0"/>
      </c:catAx>
      <c:valAx>
        <c:axId val="47853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2586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(1).xlsx]IntermediateQuestion!PivotTable7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Mismatch between objective and actual avenue chosen.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IntermediateQuestion!$J$127:$J$128</c:f>
              <c:strCache>
                <c:ptCount val="1"/>
                <c:pt idx="0">
                  <c:v>Equity</c:v>
                </c:pt>
              </c:strCache>
            </c:strRef>
          </c:tx>
          <c:spPr>
            <a:solidFill>
              <a:schemeClr val="accent1"/>
            </a:solidFill>
            <a:ln>
              <a:noFill/>
            </a:ln>
            <a:effectLst/>
          </c:spPr>
          <c:invertIfNegative val="0"/>
          <c:cat>
            <c:strRef>
              <c:f>IntermediateQuestion!$I$129:$I$132</c:f>
              <c:strCache>
                <c:ptCount val="3"/>
                <c:pt idx="0">
                  <c:v>Capital Appreciation</c:v>
                </c:pt>
                <c:pt idx="1">
                  <c:v>Growth</c:v>
                </c:pt>
                <c:pt idx="2">
                  <c:v>Income</c:v>
                </c:pt>
              </c:strCache>
            </c:strRef>
          </c:cat>
          <c:val>
            <c:numRef>
              <c:f>IntermediateQuestion!$J$129:$J$132</c:f>
              <c:numCache>
                <c:formatCode>General</c:formatCode>
                <c:ptCount val="3"/>
                <c:pt idx="0">
                  <c:v>6</c:v>
                </c:pt>
                <c:pt idx="1">
                  <c:v>2</c:v>
                </c:pt>
                <c:pt idx="2">
                  <c:v>2</c:v>
                </c:pt>
              </c:numCache>
            </c:numRef>
          </c:val>
          <c:extLst>
            <c:ext xmlns:c16="http://schemas.microsoft.com/office/drawing/2014/chart" uri="{C3380CC4-5D6E-409C-BE32-E72D297353CC}">
              <c16:uniqueId val="{00000003-259F-4290-A052-4261337B1743}"/>
            </c:ext>
          </c:extLst>
        </c:ser>
        <c:ser>
          <c:idx val="1"/>
          <c:order val="1"/>
          <c:tx>
            <c:strRef>
              <c:f>IntermediateQuestion!$K$127:$K$128</c:f>
              <c:strCache>
                <c:ptCount val="1"/>
                <c:pt idx="0">
                  <c:v>Fixed Deposits</c:v>
                </c:pt>
              </c:strCache>
            </c:strRef>
          </c:tx>
          <c:spPr>
            <a:solidFill>
              <a:schemeClr val="accent2"/>
            </a:solidFill>
            <a:ln>
              <a:noFill/>
            </a:ln>
            <a:effectLst/>
          </c:spPr>
          <c:invertIfNegative val="0"/>
          <c:cat>
            <c:strRef>
              <c:f>IntermediateQuestion!$I$129:$I$132</c:f>
              <c:strCache>
                <c:ptCount val="3"/>
                <c:pt idx="0">
                  <c:v>Capital Appreciation</c:v>
                </c:pt>
                <c:pt idx="1">
                  <c:v>Growth</c:v>
                </c:pt>
                <c:pt idx="2">
                  <c:v>Income</c:v>
                </c:pt>
              </c:strCache>
            </c:strRef>
          </c:cat>
          <c:val>
            <c:numRef>
              <c:f>IntermediateQuestion!$K$129:$K$132</c:f>
              <c:numCache>
                <c:formatCode>General</c:formatCode>
                <c:ptCount val="3"/>
                <c:pt idx="0">
                  <c:v>6</c:v>
                </c:pt>
                <c:pt idx="1">
                  <c:v>3</c:v>
                </c:pt>
              </c:numCache>
            </c:numRef>
          </c:val>
          <c:extLst>
            <c:ext xmlns:c16="http://schemas.microsoft.com/office/drawing/2014/chart" uri="{C3380CC4-5D6E-409C-BE32-E72D297353CC}">
              <c16:uniqueId val="{00000005-259F-4290-A052-4261337B1743}"/>
            </c:ext>
          </c:extLst>
        </c:ser>
        <c:ser>
          <c:idx val="2"/>
          <c:order val="2"/>
          <c:tx>
            <c:strRef>
              <c:f>IntermediateQuestion!$L$127:$L$128</c:f>
              <c:strCache>
                <c:ptCount val="1"/>
                <c:pt idx="0">
                  <c:v>Mutual Fund</c:v>
                </c:pt>
              </c:strCache>
            </c:strRef>
          </c:tx>
          <c:spPr>
            <a:solidFill>
              <a:schemeClr val="accent3"/>
            </a:solidFill>
            <a:ln>
              <a:noFill/>
            </a:ln>
            <a:effectLst/>
          </c:spPr>
          <c:invertIfNegative val="0"/>
          <c:cat>
            <c:strRef>
              <c:f>IntermediateQuestion!$I$129:$I$132</c:f>
              <c:strCache>
                <c:ptCount val="3"/>
                <c:pt idx="0">
                  <c:v>Capital Appreciation</c:v>
                </c:pt>
                <c:pt idx="1">
                  <c:v>Growth</c:v>
                </c:pt>
                <c:pt idx="2">
                  <c:v>Income</c:v>
                </c:pt>
              </c:strCache>
            </c:strRef>
          </c:cat>
          <c:val>
            <c:numRef>
              <c:f>IntermediateQuestion!$L$129:$L$132</c:f>
              <c:numCache>
                <c:formatCode>General</c:formatCode>
                <c:ptCount val="3"/>
                <c:pt idx="0">
                  <c:v>13</c:v>
                </c:pt>
                <c:pt idx="1">
                  <c:v>4</c:v>
                </c:pt>
                <c:pt idx="2">
                  <c:v>1</c:v>
                </c:pt>
              </c:numCache>
            </c:numRef>
          </c:val>
          <c:extLst>
            <c:ext xmlns:c16="http://schemas.microsoft.com/office/drawing/2014/chart" uri="{C3380CC4-5D6E-409C-BE32-E72D297353CC}">
              <c16:uniqueId val="{00000007-259F-4290-A052-4261337B1743}"/>
            </c:ext>
          </c:extLst>
        </c:ser>
        <c:ser>
          <c:idx val="3"/>
          <c:order val="3"/>
          <c:tx>
            <c:strRef>
              <c:f>IntermediateQuestion!$M$127:$M$128</c:f>
              <c:strCache>
                <c:ptCount val="1"/>
                <c:pt idx="0">
                  <c:v>Public Provident Fund</c:v>
                </c:pt>
              </c:strCache>
            </c:strRef>
          </c:tx>
          <c:spPr>
            <a:solidFill>
              <a:schemeClr val="accent4"/>
            </a:solidFill>
            <a:ln>
              <a:noFill/>
            </a:ln>
            <a:effectLst/>
          </c:spPr>
          <c:invertIfNegative val="0"/>
          <c:cat>
            <c:strRef>
              <c:f>IntermediateQuestion!$I$129:$I$132</c:f>
              <c:strCache>
                <c:ptCount val="3"/>
                <c:pt idx="0">
                  <c:v>Capital Appreciation</c:v>
                </c:pt>
                <c:pt idx="1">
                  <c:v>Growth</c:v>
                </c:pt>
                <c:pt idx="2">
                  <c:v>Income</c:v>
                </c:pt>
              </c:strCache>
            </c:strRef>
          </c:cat>
          <c:val>
            <c:numRef>
              <c:f>IntermediateQuestion!$M$129:$M$132</c:f>
              <c:numCache>
                <c:formatCode>General</c:formatCode>
                <c:ptCount val="3"/>
                <c:pt idx="0">
                  <c:v>1</c:v>
                </c:pt>
                <c:pt idx="1">
                  <c:v>2</c:v>
                </c:pt>
              </c:numCache>
            </c:numRef>
          </c:val>
          <c:extLst>
            <c:ext xmlns:c16="http://schemas.microsoft.com/office/drawing/2014/chart" uri="{C3380CC4-5D6E-409C-BE32-E72D297353CC}">
              <c16:uniqueId val="{00000009-259F-4290-A052-4261337B1743}"/>
            </c:ext>
          </c:extLst>
        </c:ser>
        <c:dLbls>
          <c:showLegendKey val="0"/>
          <c:showVal val="0"/>
          <c:showCatName val="0"/>
          <c:showSerName val="0"/>
          <c:showPercent val="0"/>
          <c:showBubbleSize val="0"/>
        </c:dLbls>
        <c:gapWidth val="150"/>
        <c:axId val="6950920"/>
        <c:axId val="6952968"/>
      </c:barChart>
      <c:catAx>
        <c:axId val="6950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2968"/>
        <c:crosses val="autoZero"/>
        <c:auto val="1"/>
        <c:lblAlgn val="ctr"/>
        <c:lblOffset val="100"/>
        <c:noMultiLvlLbl val="0"/>
      </c:catAx>
      <c:valAx>
        <c:axId val="6952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50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(1).xlsx]DashBoard Wiith Slicer!PivotTable3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 Wiith Slicer'!$C$53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8C-481A-BF2C-383C61619B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8C-481A-BF2C-383C61619B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Wiith Slicer'!$B$54:$B$56</c:f>
              <c:strCache>
                <c:ptCount val="2"/>
                <c:pt idx="0">
                  <c:v>Female</c:v>
                </c:pt>
                <c:pt idx="1">
                  <c:v>Male</c:v>
                </c:pt>
              </c:strCache>
            </c:strRef>
          </c:cat>
          <c:val>
            <c:numRef>
              <c:f>'DashBoard Wiith Slicer'!$C$54:$C$56</c:f>
              <c:numCache>
                <c:formatCode>General</c:formatCode>
                <c:ptCount val="2"/>
                <c:pt idx="0">
                  <c:v>15</c:v>
                </c:pt>
                <c:pt idx="1">
                  <c:v>25</c:v>
                </c:pt>
              </c:numCache>
            </c:numRef>
          </c:val>
          <c:extLst>
            <c:ext xmlns:c16="http://schemas.microsoft.com/office/drawing/2014/chart" uri="{C3380CC4-5D6E-409C-BE32-E72D297353CC}">
              <c16:uniqueId val="{00000003-1F70-4A97-9640-533244AC05C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(1).xlsx]DashBoard Wiith Slicer!PivotTable4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Age Group Wise Count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Wiith Slicer'!$F$53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Wiith Slicer'!$E$54:$E$57</c:f>
              <c:strCache>
                <c:ptCount val="3"/>
                <c:pt idx="0">
                  <c:v>Adults</c:v>
                </c:pt>
                <c:pt idx="1">
                  <c:v>Mature Adults</c:v>
                </c:pt>
                <c:pt idx="2">
                  <c:v>Young Adult</c:v>
                </c:pt>
              </c:strCache>
            </c:strRef>
          </c:cat>
          <c:val>
            <c:numRef>
              <c:f>'DashBoard Wiith Slicer'!$F$54:$F$57</c:f>
              <c:numCache>
                <c:formatCode>General</c:formatCode>
                <c:ptCount val="3"/>
                <c:pt idx="0">
                  <c:v>21</c:v>
                </c:pt>
                <c:pt idx="1">
                  <c:v>9</c:v>
                </c:pt>
                <c:pt idx="2">
                  <c:v>10</c:v>
                </c:pt>
              </c:numCache>
            </c:numRef>
          </c:val>
          <c:extLst>
            <c:ext xmlns:c16="http://schemas.microsoft.com/office/drawing/2014/chart" uri="{C3380CC4-5D6E-409C-BE32-E72D297353CC}">
              <c16:uniqueId val="{00000000-8E63-4050-A55F-D3AB3FB5FDB8}"/>
            </c:ext>
          </c:extLst>
        </c:ser>
        <c:dLbls>
          <c:dLblPos val="outEnd"/>
          <c:showLegendKey val="0"/>
          <c:showVal val="1"/>
          <c:showCatName val="0"/>
          <c:showSerName val="0"/>
          <c:showPercent val="0"/>
          <c:showBubbleSize val="0"/>
        </c:dLbls>
        <c:gapWidth val="219"/>
        <c:overlap val="-27"/>
        <c:axId val="34374664"/>
        <c:axId val="34377224"/>
      </c:barChart>
      <c:catAx>
        <c:axId val="3437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7224"/>
        <c:crosses val="autoZero"/>
        <c:auto val="1"/>
        <c:lblAlgn val="ctr"/>
        <c:lblOffset val="100"/>
        <c:noMultiLvlLbl val="0"/>
      </c:catAx>
      <c:valAx>
        <c:axId val="34377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74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(1).xlsx]Investor Profiling Dashboard!PivotTable3</c:name>
    <c:fmtId val="0"/>
  </c:pivotSource>
  <c:chart>
    <c:title>
      <c:tx>
        <c:rich>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r>
              <a:rPr lang="en-US"/>
              <a:t>GenderWise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'Investor Profiling Dashboard'!$G$101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3-40E5-BBD6-F9A00BA9D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3-40E5-BBD6-F9A00BA9DA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'Investor Profiling Dashboard'!$F$102:$F$104</c:f>
              <c:strCache>
                <c:ptCount val="2"/>
                <c:pt idx="0">
                  <c:v>Female</c:v>
                </c:pt>
                <c:pt idx="1">
                  <c:v>Male</c:v>
                </c:pt>
              </c:strCache>
            </c:strRef>
          </c:cat>
          <c:val>
            <c:numRef>
              <c:f>'Investor Profiling Dashboard'!$G$102:$G$104</c:f>
              <c:numCache>
                <c:formatCode>General</c:formatCode>
                <c:ptCount val="2"/>
                <c:pt idx="0">
                  <c:v>15</c:v>
                </c:pt>
                <c:pt idx="1">
                  <c:v>25</c:v>
                </c:pt>
              </c:numCache>
            </c:numRef>
          </c:val>
          <c:extLst>
            <c:ext xmlns:c16="http://schemas.microsoft.com/office/drawing/2014/chart" uri="{C3380CC4-5D6E-409C-BE32-E72D297353CC}">
              <c16:uniqueId val="{00000000-4AEC-4704-BA07-E6D61B8A185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rgbClr val="0D0D0D"/>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(1).xlsx]Investor Profiling Dashboard!PivotTable4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InvestorCount By Gender and AgeGroup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'Investor Profiling Dashboard'!$M$123</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'Investor Profiling Dashboard'!$K$124:$L$132</c:f>
              <c:multiLvlStrCache>
                <c:ptCount val="6"/>
                <c:lvl>
                  <c:pt idx="0">
                    <c:v>Adults</c:v>
                  </c:pt>
                  <c:pt idx="1">
                    <c:v>Mature Adults</c:v>
                  </c:pt>
                  <c:pt idx="2">
                    <c:v>Young Adult</c:v>
                  </c:pt>
                  <c:pt idx="3">
                    <c:v>Adults</c:v>
                  </c:pt>
                  <c:pt idx="4">
                    <c:v>Mature Adults</c:v>
                  </c:pt>
                  <c:pt idx="5">
                    <c:v>Young Adult</c:v>
                  </c:pt>
                </c:lvl>
                <c:lvl>
                  <c:pt idx="0">
                    <c:v>Female</c:v>
                  </c:pt>
                  <c:pt idx="3">
                    <c:v>Male</c:v>
                  </c:pt>
                </c:lvl>
              </c:multiLvlStrCache>
            </c:multiLvlStrRef>
          </c:cat>
          <c:val>
            <c:numRef>
              <c:f>'Investor Profiling Dashboard'!$M$124:$M$132</c:f>
              <c:numCache>
                <c:formatCode>General</c:formatCode>
                <c:ptCount val="6"/>
                <c:pt idx="0">
                  <c:v>4</c:v>
                </c:pt>
                <c:pt idx="1">
                  <c:v>5</c:v>
                </c:pt>
                <c:pt idx="2">
                  <c:v>6</c:v>
                </c:pt>
                <c:pt idx="3">
                  <c:v>17</c:v>
                </c:pt>
                <c:pt idx="4">
                  <c:v>4</c:v>
                </c:pt>
                <c:pt idx="5">
                  <c:v>4</c:v>
                </c:pt>
              </c:numCache>
            </c:numRef>
          </c:val>
          <c:extLst>
            <c:ext xmlns:c16="http://schemas.microsoft.com/office/drawing/2014/chart" uri="{C3380CC4-5D6E-409C-BE32-E72D297353CC}">
              <c16:uniqueId val="{00000003-B1BE-428C-9A8F-D9C841958378}"/>
            </c:ext>
          </c:extLst>
        </c:ser>
        <c:dLbls>
          <c:dLblPos val="outEnd"/>
          <c:showLegendKey val="0"/>
          <c:showVal val="1"/>
          <c:showCatName val="0"/>
          <c:showSerName val="0"/>
          <c:showPercent val="0"/>
          <c:showBubbleSize val="0"/>
        </c:dLbls>
        <c:gapWidth val="33"/>
        <c:overlap val="-30"/>
        <c:axId val="687520775"/>
        <c:axId val="687522823"/>
      </c:barChart>
      <c:catAx>
        <c:axId val="687520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7522823"/>
        <c:crosses val="autoZero"/>
        <c:auto val="1"/>
        <c:lblAlgn val="ctr"/>
        <c:lblOffset val="100"/>
        <c:noMultiLvlLbl val="0"/>
      </c:catAx>
      <c:valAx>
        <c:axId val="687522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InvestorCount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7520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(1).xlsx]Investor Profiling Dashboard!PivotTable5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Investors And Their Preferred Investment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'Investor Profiling Dashboard'!$F$117:$F$118</c:f>
              <c:strCache>
                <c:ptCount val="1"/>
                <c:pt idx="0">
                  <c:v>Adults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'Investor Profiling Dashboard'!$E$119:$E$123</c:f>
              <c:strCache>
                <c:ptCount val="4"/>
                <c:pt idx="0">
                  <c:v>Equity</c:v>
                </c:pt>
                <c:pt idx="1">
                  <c:v>Fixed Deposits</c:v>
                </c:pt>
                <c:pt idx="2">
                  <c:v>Mutual Fund</c:v>
                </c:pt>
                <c:pt idx="3">
                  <c:v>Public Provident Fund</c:v>
                </c:pt>
              </c:strCache>
            </c:strRef>
          </c:cat>
          <c:val>
            <c:numRef>
              <c:f>'Investor Profiling Dashboard'!$F$119:$F$123</c:f>
              <c:numCache>
                <c:formatCode>General</c:formatCode>
                <c:ptCount val="4"/>
                <c:pt idx="0">
                  <c:v>5</c:v>
                </c:pt>
                <c:pt idx="1">
                  <c:v>5</c:v>
                </c:pt>
                <c:pt idx="2">
                  <c:v>10</c:v>
                </c:pt>
                <c:pt idx="3">
                  <c:v>1</c:v>
                </c:pt>
              </c:numCache>
            </c:numRef>
          </c:val>
          <c:extLst>
            <c:ext xmlns:c16="http://schemas.microsoft.com/office/drawing/2014/chart" uri="{C3380CC4-5D6E-409C-BE32-E72D297353CC}">
              <c16:uniqueId val="{00000003-C587-4E07-83A8-BA834629BFAA}"/>
            </c:ext>
          </c:extLst>
        </c:ser>
        <c:ser>
          <c:idx val="1"/>
          <c:order val="1"/>
          <c:tx>
            <c:strRef>
              <c:f>'Investor Profiling Dashboard'!$G$117:$G$118</c:f>
              <c:strCache>
                <c:ptCount val="1"/>
                <c:pt idx="0">
                  <c:v>Mature Adults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'Investor Profiling Dashboard'!$E$119:$E$123</c:f>
              <c:strCache>
                <c:ptCount val="4"/>
                <c:pt idx="0">
                  <c:v>Equity</c:v>
                </c:pt>
                <c:pt idx="1">
                  <c:v>Fixed Deposits</c:v>
                </c:pt>
                <c:pt idx="2">
                  <c:v>Mutual Fund</c:v>
                </c:pt>
                <c:pt idx="3">
                  <c:v>Public Provident Fund</c:v>
                </c:pt>
              </c:strCache>
            </c:strRef>
          </c:cat>
          <c:val>
            <c:numRef>
              <c:f>'Investor Profiling Dashboard'!$G$119:$G$123</c:f>
              <c:numCache>
                <c:formatCode>General</c:formatCode>
                <c:ptCount val="4"/>
                <c:pt idx="0">
                  <c:v>2</c:v>
                </c:pt>
                <c:pt idx="1">
                  <c:v>3</c:v>
                </c:pt>
                <c:pt idx="2">
                  <c:v>4</c:v>
                </c:pt>
              </c:numCache>
            </c:numRef>
          </c:val>
          <c:extLst>
            <c:ext xmlns:c16="http://schemas.microsoft.com/office/drawing/2014/chart" uri="{C3380CC4-5D6E-409C-BE32-E72D297353CC}">
              <c16:uniqueId val="{00000009-C587-4E07-83A8-BA834629BFAA}"/>
            </c:ext>
          </c:extLst>
        </c:ser>
        <c:ser>
          <c:idx val="2"/>
          <c:order val="2"/>
          <c:tx>
            <c:strRef>
              <c:f>'Investor Profiling Dashboard'!$H$117:$H$118</c:f>
              <c:strCache>
                <c:ptCount val="1"/>
                <c:pt idx="0">
                  <c:v>Young Adult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'Investor Profiling Dashboard'!$E$119:$E$123</c:f>
              <c:strCache>
                <c:ptCount val="4"/>
                <c:pt idx="0">
                  <c:v>Equity</c:v>
                </c:pt>
                <c:pt idx="1">
                  <c:v>Fixed Deposits</c:v>
                </c:pt>
                <c:pt idx="2">
                  <c:v>Mutual Fund</c:v>
                </c:pt>
                <c:pt idx="3">
                  <c:v>Public Provident Fund</c:v>
                </c:pt>
              </c:strCache>
            </c:strRef>
          </c:cat>
          <c:val>
            <c:numRef>
              <c:f>'Investor Profiling Dashboard'!$H$119:$H$123</c:f>
              <c:numCache>
                <c:formatCode>General</c:formatCode>
                <c:ptCount val="4"/>
                <c:pt idx="0">
                  <c:v>3</c:v>
                </c:pt>
                <c:pt idx="1">
                  <c:v>1</c:v>
                </c:pt>
                <c:pt idx="2">
                  <c:v>4</c:v>
                </c:pt>
                <c:pt idx="3">
                  <c:v>2</c:v>
                </c:pt>
              </c:numCache>
            </c:numRef>
          </c:val>
          <c:extLst>
            <c:ext xmlns:c16="http://schemas.microsoft.com/office/drawing/2014/chart" uri="{C3380CC4-5D6E-409C-BE32-E72D297353CC}">
              <c16:uniqueId val="{0000000A-C587-4E07-83A8-BA834629BFAA}"/>
            </c:ext>
          </c:extLst>
        </c:ser>
        <c:dLbls>
          <c:dLblPos val="ctr"/>
          <c:showLegendKey val="0"/>
          <c:showVal val="1"/>
          <c:showCatName val="0"/>
          <c:showSerName val="0"/>
          <c:showPercent val="0"/>
          <c:showBubbleSize val="0"/>
        </c:dLbls>
        <c:gapWidth val="33"/>
        <c:overlap val="100"/>
        <c:axId val="1938535432"/>
        <c:axId val="1938537480"/>
      </c:barChart>
      <c:catAx>
        <c:axId val="19385354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8537480"/>
        <c:crosses val="autoZero"/>
        <c:auto val="1"/>
        <c:lblAlgn val="ctr"/>
        <c:lblOffset val="100"/>
        <c:noMultiLvlLbl val="0"/>
      </c:catAx>
      <c:valAx>
        <c:axId val="1938537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InvestorCount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8535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(1).xlsx]Investor Profiling Dashboard!PivotTable6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GenderWise Investment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'Investor Profiling Dashboard'!$K$100:$K$101</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'Investor Profiling Dashboard'!$J$102:$J$106</c:f>
              <c:strCache>
                <c:ptCount val="4"/>
                <c:pt idx="0">
                  <c:v>Equity</c:v>
                </c:pt>
                <c:pt idx="1">
                  <c:v>Fixed Deposits</c:v>
                </c:pt>
                <c:pt idx="2">
                  <c:v>Mutual Fund</c:v>
                </c:pt>
                <c:pt idx="3">
                  <c:v>Public Provident Fund</c:v>
                </c:pt>
              </c:strCache>
            </c:strRef>
          </c:cat>
          <c:val>
            <c:numRef>
              <c:f>'Investor Profiling Dashboard'!$K$102:$K$106</c:f>
              <c:numCache>
                <c:formatCode>General</c:formatCode>
                <c:ptCount val="4"/>
                <c:pt idx="0">
                  <c:v>3</c:v>
                </c:pt>
                <c:pt idx="1">
                  <c:v>3</c:v>
                </c:pt>
                <c:pt idx="2">
                  <c:v>8</c:v>
                </c:pt>
                <c:pt idx="3">
                  <c:v>1</c:v>
                </c:pt>
              </c:numCache>
            </c:numRef>
          </c:val>
          <c:extLst>
            <c:ext xmlns:c16="http://schemas.microsoft.com/office/drawing/2014/chart" uri="{C3380CC4-5D6E-409C-BE32-E72D297353CC}">
              <c16:uniqueId val="{00000003-61E9-4C19-AC0C-49804E5A3131}"/>
            </c:ext>
          </c:extLst>
        </c:ser>
        <c:ser>
          <c:idx val="1"/>
          <c:order val="1"/>
          <c:tx>
            <c:strRef>
              <c:f>'Investor Profiling Dashboard'!$L$100:$L$101</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'Investor Profiling Dashboard'!$J$102:$J$106</c:f>
              <c:strCache>
                <c:ptCount val="4"/>
                <c:pt idx="0">
                  <c:v>Equity</c:v>
                </c:pt>
                <c:pt idx="1">
                  <c:v>Fixed Deposits</c:v>
                </c:pt>
                <c:pt idx="2">
                  <c:v>Mutual Fund</c:v>
                </c:pt>
                <c:pt idx="3">
                  <c:v>Public Provident Fund</c:v>
                </c:pt>
              </c:strCache>
            </c:strRef>
          </c:cat>
          <c:val>
            <c:numRef>
              <c:f>'Investor Profiling Dashboard'!$L$102:$L$106</c:f>
              <c:numCache>
                <c:formatCode>General</c:formatCode>
                <c:ptCount val="4"/>
                <c:pt idx="0">
                  <c:v>7</c:v>
                </c:pt>
                <c:pt idx="1">
                  <c:v>6</c:v>
                </c:pt>
                <c:pt idx="2">
                  <c:v>10</c:v>
                </c:pt>
                <c:pt idx="3">
                  <c:v>2</c:v>
                </c:pt>
              </c:numCache>
            </c:numRef>
          </c:val>
          <c:extLst>
            <c:ext xmlns:c16="http://schemas.microsoft.com/office/drawing/2014/chart" uri="{C3380CC4-5D6E-409C-BE32-E72D297353CC}">
              <c16:uniqueId val="{00000007-61E9-4C19-AC0C-49804E5A3131}"/>
            </c:ext>
          </c:extLst>
        </c:ser>
        <c:dLbls>
          <c:dLblPos val="outEnd"/>
          <c:showLegendKey val="0"/>
          <c:showVal val="1"/>
          <c:showCatName val="0"/>
          <c:showSerName val="0"/>
          <c:showPercent val="0"/>
          <c:showBubbleSize val="0"/>
        </c:dLbls>
        <c:gapWidth val="140"/>
        <c:overlap val="-30"/>
        <c:axId val="2076223496"/>
        <c:axId val="2076730888"/>
      </c:barChart>
      <c:catAx>
        <c:axId val="2076223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6730888"/>
        <c:crosses val="autoZero"/>
        <c:auto val="1"/>
        <c:lblAlgn val="ctr"/>
        <c:lblOffset val="100"/>
        <c:noMultiLvlLbl val="0"/>
      </c:catAx>
      <c:valAx>
        <c:axId val="2076730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InvestorCount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6223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 (FInancial_Analysis_Report) (1).xlsx]AdvancedQuestions!PivotTable2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Investor's Persona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AdvancedQuestions!$H$57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DA-428C-851B-41E073E17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DA-428C-851B-41E073E17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DA-428C-851B-41E073E17E75}"/>
              </c:ext>
            </c:extLst>
          </c:dPt>
          <c:cat>
            <c:strRef>
              <c:f>AdvancedQuestions!$G$58:$G$61</c:f>
              <c:strCache>
                <c:ptCount val="3"/>
                <c:pt idx="0">
                  <c:v>Aggressive Investor</c:v>
                </c:pt>
                <c:pt idx="1">
                  <c:v>Balanced Investor</c:v>
                </c:pt>
                <c:pt idx="2">
                  <c:v>Conservative Investor</c:v>
                </c:pt>
              </c:strCache>
            </c:strRef>
          </c:cat>
          <c:val>
            <c:numRef>
              <c:f>AdvancedQuestions!$H$58:$H$61</c:f>
              <c:numCache>
                <c:formatCode>General</c:formatCode>
                <c:ptCount val="3"/>
                <c:pt idx="0">
                  <c:v>10</c:v>
                </c:pt>
                <c:pt idx="1">
                  <c:v>18</c:v>
                </c:pt>
                <c:pt idx="2">
                  <c:v>12</c:v>
                </c:pt>
              </c:numCache>
            </c:numRef>
          </c:val>
          <c:extLst>
            <c:ext xmlns:c16="http://schemas.microsoft.com/office/drawing/2014/chart" uri="{C3380CC4-5D6E-409C-BE32-E72D297353CC}">
              <c16:uniqueId val="{00000000-6BBF-4D81-B425-FD9F00B87C3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390525</xdr:colOff>
      <xdr:row>23</xdr:row>
      <xdr:rowOff>104775</xdr:rowOff>
    </xdr:from>
    <xdr:to>
      <xdr:col>9</xdr:col>
      <xdr:colOff>381000</xdr:colOff>
      <xdr:row>37</xdr:row>
      <xdr:rowOff>180975</xdr:rowOff>
    </xdr:to>
    <xdr:graphicFrame macro="">
      <xdr:nvGraphicFramePr>
        <xdr:cNvPr id="2" name="Chart 6">
          <a:extLst>
            <a:ext uri="{FF2B5EF4-FFF2-40B4-BE49-F238E27FC236}">
              <a16:creationId xmlns:a16="http://schemas.microsoft.com/office/drawing/2014/main" id="{B1962B3A-EC5D-73C9-5222-784CFB3AC2EE}"/>
            </a:ext>
            <a:ext uri="{147F2762-F138-4A5C-976F-8EAC2B608ADB}">
              <a16:predDERef xmlns:a16="http://schemas.microsoft.com/office/drawing/2014/main" pred="{A4E06192-3FB6-40AA-B972-49AB183E3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52</xdr:row>
      <xdr:rowOff>47625</xdr:rowOff>
    </xdr:from>
    <xdr:to>
      <xdr:col>9</xdr:col>
      <xdr:colOff>1228725</xdr:colOff>
      <xdr:row>66</xdr:row>
      <xdr:rowOff>123825</xdr:rowOff>
    </xdr:to>
    <xdr:graphicFrame macro="">
      <xdr:nvGraphicFramePr>
        <xdr:cNvPr id="8" name="Chart 7">
          <a:extLst>
            <a:ext uri="{FF2B5EF4-FFF2-40B4-BE49-F238E27FC236}">
              <a16:creationId xmlns:a16="http://schemas.microsoft.com/office/drawing/2014/main" id="{5DAF8811-29D0-49D4-BDC7-3C5FFCDC2373}"/>
            </a:ext>
            <a:ext uri="{147F2762-F138-4A5C-976F-8EAC2B608ADB}">
              <a16:predDERef xmlns:a16="http://schemas.microsoft.com/office/drawing/2014/main" pred="{B1962B3A-EC5D-73C9-5222-784CFB3AC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44</xdr:row>
      <xdr:rowOff>152400</xdr:rowOff>
    </xdr:from>
    <xdr:to>
      <xdr:col>16</xdr:col>
      <xdr:colOff>219075</xdr:colOff>
      <xdr:row>59</xdr:row>
      <xdr:rowOff>38100</xdr:rowOff>
    </xdr:to>
    <xdr:graphicFrame macro="">
      <xdr:nvGraphicFramePr>
        <xdr:cNvPr id="9" name="Chart 8">
          <a:extLst>
            <a:ext uri="{FF2B5EF4-FFF2-40B4-BE49-F238E27FC236}">
              <a16:creationId xmlns:a16="http://schemas.microsoft.com/office/drawing/2014/main" id="{C5FDFCA5-7CFA-37FE-C5C7-B994467DCC37}"/>
            </a:ext>
            <a:ext uri="{147F2762-F138-4A5C-976F-8EAC2B608ADB}">
              <a16:predDERef xmlns:a16="http://schemas.microsoft.com/office/drawing/2014/main" pred="{5DAF8811-29D0-49D4-BDC7-3C5FFCDC2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44</xdr:row>
      <xdr:rowOff>85725</xdr:rowOff>
    </xdr:from>
    <xdr:to>
      <xdr:col>3</xdr:col>
      <xdr:colOff>533400</xdr:colOff>
      <xdr:row>58</xdr:row>
      <xdr:rowOff>161925</xdr:rowOff>
    </xdr:to>
    <xdr:graphicFrame macro="">
      <xdr:nvGraphicFramePr>
        <xdr:cNvPr id="4" name="Chart 3">
          <a:extLst>
            <a:ext uri="{FF2B5EF4-FFF2-40B4-BE49-F238E27FC236}">
              <a16:creationId xmlns:a16="http://schemas.microsoft.com/office/drawing/2014/main" id="{21BF1CE1-B154-4789-8C38-F86BDAFBAD03}"/>
            </a:ext>
            <a:ext uri="{147F2762-F138-4A5C-976F-8EAC2B608ADB}">
              <a16:predDERef xmlns:a16="http://schemas.microsoft.com/office/drawing/2014/main" pred="{7BFC0171-D0B3-46C1-A248-7C3185558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47625</xdr:colOff>
      <xdr:row>73</xdr:row>
      <xdr:rowOff>38100</xdr:rowOff>
    </xdr:from>
    <xdr:to>
      <xdr:col>16</xdr:col>
      <xdr:colOff>219075</xdr:colOff>
      <xdr:row>87</xdr:row>
      <xdr:rowOff>114300</xdr:rowOff>
    </xdr:to>
    <xdr:graphicFrame macro="">
      <xdr:nvGraphicFramePr>
        <xdr:cNvPr id="2" name="Chart 1">
          <a:extLst>
            <a:ext uri="{FF2B5EF4-FFF2-40B4-BE49-F238E27FC236}">
              <a16:creationId xmlns:a16="http://schemas.microsoft.com/office/drawing/2014/main" id="{A1D2A1E4-FFDE-0B50-FC98-8FFEEF5CF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91</xdr:row>
      <xdr:rowOff>180975</xdr:rowOff>
    </xdr:from>
    <xdr:to>
      <xdr:col>15</xdr:col>
      <xdr:colOff>266700</xdr:colOff>
      <xdr:row>105</xdr:row>
      <xdr:rowOff>57150</xdr:rowOff>
    </xdr:to>
    <xdr:graphicFrame macro="">
      <xdr:nvGraphicFramePr>
        <xdr:cNvPr id="3" name="Chart 2">
          <a:extLst>
            <a:ext uri="{FF2B5EF4-FFF2-40B4-BE49-F238E27FC236}">
              <a16:creationId xmlns:a16="http://schemas.microsoft.com/office/drawing/2014/main" id="{5E52EAD2-7D22-A91F-A595-5E3BD7F234AB}"/>
            </a:ext>
            <a:ext uri="{147F2762-F138-4A5C-976F-8EAC2B608ADB}">
              <a16:predDERef xmlns:a16="http://schemas.microsoft.com/office/drawing/2014/main" pred="{A1D2A1E4-FFDE-0B50-FC98-8FFEEF5CF4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133350</xdr:colOff>
      <xdr:row>106</xdr:row>
      <xdr:rowOff>76200</xdr:rowOff>
    </xdr:from>
    <xdr:to>
      <xdr:col>18</xdr:col>
      <xdr:colOff>85725</xdr:colOff>
      <xdr:row>120</xdr:row>
      <xdr:rowOff>152400</xdr:rowOff>
    </xdr:to>
    <xdr:graphicFrame macro="">
      <xdr:nvGraphicFramePr>
        <xdr:cNvPr id="4" name="Chart 3">
          <a:extLst>
            <a:ext uri="{FF2B5EF4-FFF2-40B4-BE49-F238E27FC236}">
              <a16:creationId xmlns:a16="http://schemas.microsoft.com/office/drawing/2014/main" id="{0C9FA5BF-3C88-FCA4-7979-63E371624D54}"/>
            </a:ext>
            <a:ext uri="{147F2762-F138-4A5C-976F-8EAC2B608ADB}">
              <a16:predDERef xmlns:a16="http://schemas.microsoft.com/office/drawing/2014/main" pred="{5E52EAD2-7D22-A91F-A595-5E3BD7F23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323850</xdr:colOff>
      <xdr:row>122</xdr:row>
      <xdr:rowOff>114300</xdr:rowOff>
    </xdr:from>
    <xdr:to>
      <xdr:col>22</xdr:col>
      <xdr:colOff>19050</xdr:colOff>
      <xdr:row>137</xdr:row>
      <xdr:rowOff>0</xdr:rowOff>
    </xdr:to>
    <xdr:graphicFrame macro="">
      <xdr:nvGraphicFramePr>
        <xdr:cNvPr id="5" name="Chart 4">
          <a:extLst>
            <a:ext uri="{FF2B5EF4-FFF2-40B4-BE49-F238E27FC236}">
              <a16:creationId xmlns:a16="http://schemas.microsoft.com/office/drawing/2014/main" id="{FC4D7EAA-23AC-167F-3D9C-0346148C5D44}"/>
            </a:ext>
            <a:ext uri="{147F2762-F138-4A5C-976F-8EAC2B608ADB}">
              <a16:predDERef xmlns:a16="http://schemas.microsoft.com/office/drawing/2014/main" pred="{0C9FA5BF-3C88-FCA4-7979-63E371624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561975</xdr:colOff>
      <xdr:row>10</xdr:row>
      <xdr:rowOff>38100</xdr:rowOff>
    </xdr:from>
    <xdr:to>
      <xdr:col>5</xdr:col>
      <xdr:colOff>381000</xdr:colOff>
      <xdr:row>24</xdr:row>
      <xdr:rowOff>114300</xdr:rowOff>
    </xdr:to>
    <xdr:graphicFrame macro="">
      <xdr:nvGraphicFramePr>
        <xdr:cNvPr id="9" name="Chart 8">
          <a:extLst>
            <a:ext uri="{FF2B5EF4-FFF2-40B4-BE49-F238E27FC236}">
              <a16:creationId xmlns:a16="http://schemas.microsoft.com/office/drawing/2014/main" id="{A3325E96-67E2-A91A-614F-71A267D87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1333500</xdr:colOff>
      <xdr:row>10</xdr:row>
      <xdr:rowOff>9525</xdr:rowOff>
    </xdr:from>
    <xdr:to>
      <xdr:col>12</xdr:col>
      <xdr:colOff>400050</xdr:colOff>
      <xdr:row>24</xdr:row>
      <xdr:rowOff>114300</xdr:rowOff>
    </xdr:to>
    <xdr:graphicFrame macro="">
      <xdr:nvGraphicFramePr>
        <xdr:cNvPr id="11" name="Chart 10">
          <a:extLst>
            <a:ext uri="{FF2B5EF4-FFF2-40B4-BE49-F238E27FC236}">
              <a16:creationId xmlns:a16="http://schemas.microsoft.com/office/drawing/2014/main" id="{B6E904F1-FA02-EA6D-331C-B30085E3F472}"/>
            </a:ext>
            <a:ext uri="{147F2762-F138-4A5C-976F-8EAC2B608ADB}">
              <a16:predDERef xmlns:a16="http://schemas.microsoft.com/office/drawing/2014/main" pred="{A3325E96-67E2-A91A-614F-71A267D87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1</xdr:row>
      <xdr:rowOff>66675</xdr:rowOff>
    </xdr:from>
    <xdr:to>
      <xdr:col>6</xdr:col>
      <xdr:colOff>76200</xdr:colOff>
      <xdr:row>6</xdr:row>
      <xdr:rowOff>57150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CC7772EC-9214-BA2D-3293-CA7CFD875633}"/>
                </a:ext>
                <a:ext uri="{147F2762-F138-4A5C-976F-8EAC2B608ADB}">
                  <a16:predDERef xmlns:a16="http://schemas.microsoft.com/office/drawing/2014/main" pred="{B6E904F1-FA02-EA6D-331C-B30085E3F47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295775" y="361950"/>
              <a:ext cx="1828800" cy="9429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276225</xdr:colOff>
      <xdr:row>1</xdr:row>
      <xdr:rowOff>9525</xdr:rowOff>
    </xdr:from>
    <xdr:to>
      <xdr:col>7</xdr:col>
      <xdr:colOff>800100</xdr:colOff>
      <xdr:row>7</xdr:row>
      <xdr:rowOff>85725</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508193E0-1D11-5085-B2FB-209215693BF5}"/>
                </a:ext>
                <a:ext uri="{147F2762-F138-4A5C-976F-8EAC2B608ADB}">
                  <a16:predDERef xmlns:a16="http://schemas.microsoft.com/office/drawing/2014/main" pred="{CC7772EC-9214-BA2D-3293-CA7CFD875633}"/>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324600" y="304800"/>
              <a:ext cx="1304925" cy="12192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695325</xdr:colOff>
      <xdr:row>6</xdr:row>
      <xdr:rowOff>76200</xdr:rowOff>
    </xdr:from>
    <xdr:to>
      <xdr:col>9</xdr:col>
      <xdr:colOff>809625</xdr:colOff>
      <xdr:row>11</xdr:row>
      <xdr:rowOff>0</xdr:rowOff>
    </xdr:to>
    <xdr:sp macro="" textlink="">
      <xdr:nvSpPr>
        <xdr:cNvPr id="2" name="TextBox 1">
          <a:extLst>
            <a:ext uri="{FF2B5EF4-FFF2-40B4-BE49-F238E27FC236}">
              <a16:creationId xmlns:a16="http://schemas.microsoft.com/office/drawing/2014/main" id="{597A0CCD-7CFC-1C62-17B8-A96CC37A7DD2}"/>
            </a:ext>
          </a:extLst>
        </xdr:cNvPr>
        <xdr:cNvSpPr txBox="1"/>
      </xdr:nvSpPr>
      <xdr:spPr>
        <a:xfrm>
          <a:off x="9220200" y="1219200"/>
          <a:ext cx="1200150" cy="876300"/>
        </a:xfrm>
        <a:prstGeom prst="rect">
          <a:avLst/>
        </a:prstGeom>
        <a:solidFill>
          <a:srgbClr val="2A7EF5"/>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1600" b="1">
              <a:solidFill>
                <a:schemeClr val="bg1"/>
              </a:solidFill>
              <a:latin typeface="+mn-lt"/>
              <a:ea typeface="+mn-lt"/>
              <a:cs typeface="+mn-lt"/>
            </a:rPr>
            <a:t>Total Investor</a:t>
          </a:r>
        </a:p>
        <a:p>
          <a:pPr marL="0" indent="0" algn="ctr"/>
          <a:r>
            <a:rPr lang="en-US" sz="1600" b="1">
              <a:solidFill>
                <a:schemeClr val="bg1"/>
              </a:solidFill>
              <a:latin typeface="+mn-lt"/>
              <a:ea typeface="+mn-lt"/>
              <a:cs typeface="+mn-lt"/>
            </a:rPr>
            <a:t> 40</a:t>
          </a:r>
        </a:p>
      </xdr:txBody>
    </xdr:sp>
    <xdr:clientData/>
  </xdr:twoCellAnchor>
  <xdr:twoCellAnchor>
    <xdr:from>
      <xdr:col>6</xdr:col>
      <xdr:colOff>200025</xdr:colOff>
      <xdr:row>0</xdr:row>
      <xdr:rowOff>161925</xdr:rowOff>
    </xdr:from>
    <xdr:to>
      <xdr:col>12</xdr:col>
      <xdr:colOff>200025</xdr:colOff>
      <xdr:row>5</xdr:row>
      <xdr:rowOff>161925</xdr:rowOff>
    </xdr:to>
    <xdr:sp macro="" textlink="">
      <xdr:nvSpPr>
        <xdr:cNvPr id="3" name="TextBox 2">
          <a:extLst>
            <a:ext uri="{FF2B5EF4-FFF2-40B4-BE49-F238E27FC236}">
              <a16:creationId xmlns:a16="http://schemas.microsoft.com/office/drawing/2014/main" id="{362BFB60-712F-0293-291E-C72DFB31F77C}"/>
            </a:ext>
            <a:ext uri="{147F2762-F138-4A5C-976F-8EAC2B608ADB}">
              <a16:predDERef xmlns:a16="http://schemas.microsoft.com/office/drawing/2014/main" pred="{597A0CCD-7CFC-1C62-17B8-A96CC37A7DD2}"/>
            </a:ext>
          </a:extLst>
        </xdr:cNvPr>
        <xdr:cNvSpPr txBox="1"/>
      </xdr:nvSpPr>
      <xdr:spPr>
        <a:xfrm>
          <a:off x="6534150" y="161925"/>
          <a:ext cx="6191250" cy="952500"/>
        </a:xfrm>
        <a:prstGeom prst="rect">
          <a:avLst/>
        </a:prstGeom>
        <a:solidFill>
          <a:srgbClr val="2A7EF5"/>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3600" b="1">
              <a:solidFill>
                <a:schemeClr val="bg1"/>
              </a:solidFill>
              <a:latin typeface="Bahnschrift" panose="020B0502040204020203" pitchFamily="34" charset="0"/>
            </a:rPr>
            <a:t>Investor Profiling Dashboard</a:t>
          </a:r>
        </a:p>
      </xdr:txBody>
    </xdr:sp>
    <xdr:clientData/>
  </xdr:twoCellAnchor>
  <xdr:twoCellAnchor>
    <xdr:from>
      <xdr:col>4</xdr:col>
      <xdr:colOff>190500</xdr:colOff>
      <xdr:row>6</xdr:row>
      <xdr:rowOff>57150</xdr:rowOff>
    </xdr:from>
    <xdr:to>
      <xdr:col>7</xdr:col>
      <xdr:colOff>180975</xdr:colOff>
      <xdr:row>10</xdr:row>
      <xdr:rowOff>171450</xdr:rowOff>
    </xdr:to>
    <xdr:sp macro="" textlink="">
      <xdr:nvSpPr>
        <xdr:cNvPr id="4" name="TextBox 3">
          <a:extLst>
            <a:ext uri="{FF2B5EF4-FFF2-40B4-BE49-F238E27FC236}">
              <a16:creationId xmlns:a16="http://schemas.microsoft.com/office/drawing/2014/main" id="{B67BA319-3BF3-40F1-8F84-DBEA297C7A0F}"/>
            </a:ext>
            <a:ext uri="{147F2762-F138-4A5C-976F-8EAC2B608ADB}">
              <a16:predDERef xmlns:a16="http://schemas.microsoft.com/office/drawing/2014/main" pred="{362BFB60-712F-0293-291E-C72DFB31F77C}"/>
            </a:ext>
          </a:extLst>
        </xdr:cNvPr>
        <xdr:cNvSpPr txBox="1"/>
      </xdr:nvSpPr>
      <xdr:spPr>
        <a:xfrm>
          <a:off x="4257675" y="1200150"/>
          <a:ext cx="2867025" cy="876300"/>
        </a:xfrm>
        <a:prstGeom prst="rect">
          <a:avLst/>
        </a:prstGeom>
        <a:solidFill>
          <a:srgbClr val="2A7EF5"/>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a:solidFill>
                <a:schemeClr val="bg1"/>
              </a:solidFill>
              <a:latin typeface="+mn-lt"/>
              <a:ea typeface="+mn-lt"/>
              <a:cs typeface="+mn-lt"/>
            </a:rPr>
            <a:t>Most Preferred Avenue  </a:t>
          </a:r>
        </a:p>
        <a:p>
          <a:pPr marL="0" indent="0" algn="ctr"/>
          <a:r>
            <a:rPr lang="en-US" sz="1600" b="1">
              <a:solidFill>
                <a:schemeClr val="bg1"/>
              </a:solidFill>
              <a:latin typeface="+mn-lt"/>
              <a:ea typeface="+mn-lt"/>
              <a:cs typeface="+mn-lt"/>
            </a:rPr>
            <a:t>Mutual Funds</a:t>
          </a:r>
        </a:p>
      </xdr:txBody>
    </xdr:sp>
    <xdr:clientData/>
  </xdr:twoCellAnchor>
  <xdr:twoCellAnchor>
    <xdr:from>
      <xdr:col>10</xdr:col>
      <xdr:colOff>485775</xdr:colOff>
      <xdr:row>6</xdr:row>
      <xdr:rowOff>76200</xdr:rowOff>
    </xdr:from>
    <xdr:to>
      <xdr:col>14</xdr:col>
      <xdr:colOff>38100</xdr:colOff>
      <xdr:row>11</xdr:row>
      <xdr:rowOff>0</xdr:rowOff>
    </xdr:to>
    <xdr:sp macro="" textlink="">
      <xdr:nvSpPr>
        <xdr:cNvPr id="5" name="TextBox 4">
          <a:extLst>
            <a:ext uri="{FF2B5EF4-FFF2-40B4-BE49-F238E27FC236}">
              <a16:creationId xmlns:a16="http://schemas.microsoft.com/office/drawing/2014/main" id="{88BA15EA-1268-4879-A7AF-E668566E6959}"/>
            </a:ext>
            <a:ext uri="{147F2762-F138-4A5C-976F-8EAC2B608ADB}">
              <a16:predDERef xmlns:a16="http://schemas.microsoft.com/office/drawing/2014/main" pred="{B67BA319-3BF3-40F1-8F84-DBEA297C7A0F}"/>
            </a:ext>
          </a:extLst>
        </xdr:cNvPr>
        <xdr:cNvSpPr txBox="1"/>
      </xdr:nvSpPr>
      <xdr:spPr>
        <a:xfrm>
          <a:off x="9258300" y="1219200"/>
          <a:ext cx="1990725" cy="876300"/>
        </a:xfrm>
        <a:prstGeom prst="rect">
          <a:avLst/>
        </a:prstGeom>
        <a:solidFill>
          <a:srgbClr val="2A7EF5"/>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600" b="1">
              <a:solidFill>
                <a:schemeClr val="bg1"/>
              </a:solidFill>
              <a:latin typeface="+mn-lt"/>
              <a:ea typeface="+mn-lt"/>
              <a:cs typeface="+mn-lt"/>
            </a:rPr>
            <a:t>Top Objective Preference</a:t>
          </a:r>
        </a:p>
        <a:p>
          <a:pPr marL="0" indent="0" algn="ctr"/>
          <a:r>
            <a:rPr lang="en-US" sz="1600" b="1">
              <a:solidFill>
                <a:schemeClr val="bg1"/>
              </a:solidFill>
              <a:latin typeface="+mn-lt"/>
              <a:ea typeface="+mn-lt"/>
              <a:cs typeface="+mn-lt"/>
            </a:rPr>
            <a:t>Capital Appreciation</a:t>
          </a:r>
        </a:p>
      </xdr:txBody>
    </xdr:sp>
    <xdr:clientData/>
  </xdr:twoCellAnchor>
  <xdr:twoCellAnchor>
    <xdr:from>
      <xdr:col>3</xdr:col>
      <xdr:colOff>1343025</xdr:colOff>
      <xdr:row>12</xdr:row>
      <xdr:rowOff>133350</xdr:rowOff>
    </xdr:from>
    <xdr:to>
      <xdr:col>8</xdr:col>
      <xdr:colOff>152400</xdr:colOff>
      <xdr:row>26</xdr:row>
      <xdr:rowOff>85725</xdr:rowOff>
    </xdr:to>
    <xdr:graphicFrame macro="">
      <xdr:nvGraphicFramePr>
        <xdr:cNvPr id="6" name="Chart 5">
          <a:extLst>
            <a:ext uri="{FF2B5EF4-FFF2-40B4-BE49-F238E27FC236}">
              <a16:creationId xmlns:a16="http://schemas.microsoft.com/office/drawing/2014/main" id="{9AE5FB5E-E2CA-A608-A34D-958B39BF1DC0}"/>
            </a:ext>
            <a:ext uri="{147F2762-F138-4A5C-976F-8EAC2B608ADB}">
              <a16:predDERef xmlns:a16="http://schemas.microsoft.com/office/drawing/2014/main" pred="{88BA15EA-1268-4879-A7AF-E668566E6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12</xdr:row>
      <xdr:rowOff>57150</xdr:rowOff>
    </xdr:from>
    <xdr:to>
      <xdr:col>14</xdr:col>
      <xdr:colOff>371475</xdr:colOff>
      <xdr:row>26</xdr:row>
      <xdr:rowOff>133350</xdr:rowOff>
    </xdr:to>
    <xdr:graphicFrame macro="">
      <xdr:nvGraphicFramePr>
        <xdr:cNvPr id="7" name="Chart 6" descr="Chart type: Clustered Column. 'InvestorCount' by 'gender' and 'age_group'&#10;&#10;Description automatically generated">
          <a:extLst>
            <a:ext uri="{FF2B5EF4-FFF2-40B4-BE49-F238E27FC236}">
              <a16:creationId xmlns:a16="http://schemas.microsoft.com/office/drawing/2014/main" id="{5C92D41F-0190-D40D-05F3-5BC50780FF53}"/>
            </a:ext>
            <a:ext uri="{147F2762-F138-4A5C-976F-8EAC2B608ADB}">
              <a16:predDERef xmlns:a16="http://schemas.microsoft.com/office/drawing/2014/main" pred="{9AE5FB5E-E2CA-A608-A34D-958B39BF1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1152525</xdr:colOff>
      <xdr:row>28</xdr:row>
      <xdr:rowOff>133350</xdr:rowOff>
    </xdr:from>
    <xdr:to>
      <xdr:col>8</xdr:col>
      <xdr:colOff>123825</xdr:colOff>
      <xdr:row>43</xdr:row>
      <xdr:rowOff>19050</xdr:rowOff>
    </xdr:to>
    <xdr:graphicFrame macro="">
      <xdr:nvGraphicFramePr>
        <xdr:cNvPr id="8" name="Chart 7" descr="Chart type: Stacked Bar. 'InvestorCount' by 'Avenue' and 'age_group'&#10;&#10;Description automatically generated">
          <a:extLst>
            <a:ext uri="{FF2B5EF4-FFF2-40B4-BE49-F238E27FC236}">
              <a16:creationId xmlns:a16="http://schemas.microsoft.com/office/drawing/2014/main" id="{CC8F8ED1-284B-2BAB-D130-E337533EFB7E}"/>
            </a:ext>
            <a:ext uri="{147F2762-F138-4A5C-976F-8EAC2B608ADB}">
              <a16:predDERef xmlns:a16="http://schemas.microsoft.com/office/drawing/2014/main" pred="{5C92D41F-0190-D40D-05F3-5BC50780F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28</xdr:row>
      <xdr:rowOff>123825</xdr:rowOff>
    </xdr:from>
    <xdr:to>
      <xdr:col>16</xdr:col>
      <xdr:colOff>190500</xdr:colOff>
      <xdr:row>43</xdr:row>
      <xdr:rowOff>9525</xdr:rowOff>
    </xdr:to>
    <xdr:graphicFrame macro="">
      <xdr:nvGraphicFramePr>
        <xdr:cNvPr id="12" name="Chart 11" descr="Chart type: Clustered Column. 'InvestorCount' by 'Avenue' and 'gender'&#10;&#10;Description automatically generated">
          <a:extLst>
            <a:ext uri="{FF2B5EF4-FFF2-40B4-BE49-F238E27FC236}">
              <a16:creationId xmlns:a16="http://schemas.microsoft.com/office/drawing/2014/main" id="{8008D5F0-1907-DDAE-1200-591F3FDEDEA0}"/>
            </a:ext>
            <a:ext uri="{147F2762-F138-4A5C-976F-8EAC2B608ADB}">
              <a16:predDERef xmlns:a16="http://schemas.microsoft.com/office/drawing/2014/main" pred="{CC8F8ED1-284B-2BAB-D130-E337533EF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76200</xdr:colOff>
      <xdr:row>9</xdr:row>
      <xdr:rowOff>76200</xdr:rowOff>
    </xdr:from>
    <xdr:to>
      <xdr:col>18</xdr:col>
      <xdr:colOff>76200</xdr:colOff>
      <xdr:row>14</xdr:row>
      <xdr:rowOff>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6D2555A4-84E3-1A8B-C482-438F085F20FF}"/>
                </a:ext>
                <a:ext uri="{147F2762-F138-4A5C-976F-8EAC2B608ADB}">
                  <a16:predDERef xmlns:a16="http://schemas.microsoft.com/office/drawing/2014/main" pred="{8008D5F0-1907-DDAE-1200-591F3FDEDEA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306675" y="1790700"/>
              <a:ext cx="1828800" cy="8763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66675</xdr:colOff>
      <xdr:row>1</xdr:row>
      <xdr:rowOff>114300</xdr:rowOff>
    </xdr:from>
    <xdr:to>
      <xdr:col>18</xdr:col>
      <xdr:colOff>66675</xdr:colOff>
      <xdr:row>8</xdr:row>
      <xdr:rowOff>66675</xdr:rowOff>
    </xdr:to>
    <mc:AlternateContent xmlns:mc="http://schemas.openxmlformats.org/markup-compatibility/2006" xmlns:a14="http://schemas.microsoft.com/office/drawing/2010/main">
      <mc:Choice Requires="a14">
        <xdr:graphicFrame macro="">
          <xdr:nvGraphicFramePr>
            <xdr:cNvPr id="14" name="age_group 1">
              <a:extLst>
                <a:ext uri="{FF2B5EF4-FFF2-40B4-BE49-F238E27FC236}">
                  <a16:creationId xmlns:a16="http://schemas.microsoft.com/office/drawing/2014/main" id="{B91DA824-7A9E-8709-108B-194690264A6E}"/>
                </a:ext>
                <a:ext uri="{147F2762-F138-4A5C-976F-8EAC2B608ADB}">
                  <a16:predDERef xmlns:a16="http://schemas.microsoft.com/office/drawing/2014/main" pred="{6D2555A4-84E3-1A8B-C482-438F085F20FF}"/>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5297150" y="304800"/>
              <a:ext cx="1828800" cy="1285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66675</xdr:colOff>
      <xdr:row>54</xdr:row>
      <xdr:rowOff>95250</xdr:rowOff>
    </xdr:from>
    <xdr:to>
      <xdr:col>11</xdr:col>
      <xdr:colOff>390525</xdr:colOff>
      <xdr:row>65</xdr:row>
      <xdr:rowOff>66675</xdr:rowOff>
    </xdr:to>
    <xdr:graphicFrame macro="">
      <xdr:nvGraphicFramePr>
        <xdr:cNvPr id="2" name="Chart 1">
          <a:extLst>
            <a:ext uri="{FF2B5EF4-FFF2-40B4-BE49-F238E27FC236}">
              <a16:creationId xmlns:a16="http://schemas.microsoft.com/office/drawing/2014/main" id="{F0EB6FF0-9092-FA73-8F7C-43AFF4860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9525</xdr:colOff>
      <xdr:row>2</xdr:row>
      <xdr:rowOff>85725</xdr:rowOff>
    </xdr:from>
    <xdr:to>
      <xdr:col>11</xdr:col>
      <xdr:colOff>19050</xdr:colOff>
      <xdr:row>5</xdr:row>
      <xdr:rowOff>66675</xdr:rowOff>
    </xdr:to>
    <xdr:sp macro="" textlink="">
      <xdr:nvSpPr>
        <xdr:cNvPr id="2" name="TextBox 1">
          <a:extLst>
            <a:ext uri="{FF2B5EF4-FFF2-40B4-BE49-F238E27FC236}">
              <a16:creationId xmlns:a16="http://schemas.microsoft.com/office/drawing/2014/main" id="{AB054CA6-F281-3E42-1FF2-2EFF095C2A16}"/>
            </a:ext>
          </a:extLst>
        </xdr:cNvPr>
        <xdr:cNvSpPr txBox="1"/>
      </xdr:nvSpPr>
      <xdr:spPr>
        <a:xfrm>
          <a:off x="9677400" y="466725"/>
          <a:ext cx="1228725" cy="552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a:latin typeface="+mn-lt"/>
              <a:ea typeface="+mn-lt"/>
              <a:cs typeface="+mn-lt"/>
            </a:rPr>
            <a:t>Automatic Recommendation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8.296981944448" createdVersion="8" refreshedVersion="8" minRefreshableVersion="3" recordCount="41" xr:uid="{29005787-F626-45B6-B1F1-58509AA4CC13}">
  <cacheSource type="worksheet">
    <worksheetSource ref="A1:Z1048576" sheet="Financial_data"/>
  </cacheSource>
  <cacheFields count="26">
    <cacheField name="Count" numFmtId="0">
      <sharedItems containsString="0" containsBlank="1" containsNumber="1" containsInteger="1" minValue="1" maxValue="40"/>
    </cacheField>
    <cacheField name="gender" numFmtId="0">
      <sharedItems containsBlank="1" count="3">
        <s v="Female"/>
        <s v="Male"/>
        <m/>
      </sharedItems>
    </cacheField>
    <cacheField name="age" numFmtId="0">
      <sharedItems containsString="0" containsBlank="1" containsNumber="1" containsInteger="1" minValue="21" maxValue="35"/>
    </cacheField>
    <cacheField name="age_group" numFmtId="0">
      <sharedItems containsBlank="1"/>
    </cacheField>
    <cacheField name="Investment_Avenues" numFmtId="0">
      <sharedItems containsBlank="1"/>
    </cacheField>
    <cacheField name="Mutual_Funds" numFmtId="0">
      <sharedItems containsString="0" containsBlank="1" containsNumber="1" containsInteger="1" minValue="1" maxValue="7"/>
    </cacheField>
    <cacheField name="Equity_Market" numFmtId="0">
      <sharedItems containsString="0" containsBlank="1" containsNumber="1" containsInteger="1" minValue="1" maxValue="6"/>
    </cacheField>
    <cacheField name="Debentures" numFmtId="0">
      <sharedItems containsString="0" containsBlank="1" containsNumber="1" containsInteger="1" minValue="1" maxValue="7"/>
    </cacheField>
    <cacheField name="Government_Bonds" numFmtId="0">
      <sharedItems containsString="0" containsBlank="1" containsNumber="1" containsInteger="1" minValue="1" maxValue="7"/>
    </cacheField>
    <cacheField name="Fixed_Deposits" numFmtId="0">
      <sharedItems containsString="0" containsBlank="1" containsNumber="1" containsInteger="1" minValue="1" maxValue="7"/>
    </cacheField>
    <cacheField name="PPF" numFmtId="0">
      <sharedItems containsString="0" containsBlank="1" containsNumber="1" containsInteger="1" minValue="1" maxValue="6"/>
    </cacheField>
    <cacheField name="Gold" numFmtId="0">
      <sharedItems containsString="0" containsBlank="1" containsNumber="1" containsInteger="1" minValue="2" maxValue="7"/>
    </cacheField>
    <cacheField name="Stock_Marktet" numFmtId="0">
      <sharedItems containsBlank="1"/>
    </cacheField>
    <cacheField name="Factor" numFmtId="0">
      <sharedItems containsBlank="1"/>
    </cacheField>
    <cacheField name="Objective" numFmtId="0">
      <sharedItems containsBlank="1"/>
    </cacheField>
    <cacheField name="Purpose" numFmtId="0">
      <sharedItems containsBlank="1"/>
    </cacheField>
    <cacheField name="Duration" numFmtId="0">
      <sharedItems containsBlank="1"/>
    </cacheField>
    <cacheField name="Invest_Monitor" numFmtId="0">
      <sharedItems containsBlank="1"/>
    </cacheField>
    <cacheField name="Expect" numFmtId="0">
      <sharedItems containsBlank="1"/>
    </cacheField>
    <cacheField name="Avenue" numFmtId="0">
      <sharedItems containsBlank="1"/>
    </cacheField>
    <cacheField name="What are your savings objectives?" numFmtId="0">
      <sharedItems containsBlank="1"/>
    </cacheField>
    <cacheField name="Reason_Equity" numFmtId="0">
      <sharedItems containsBlank="1"/>
    </cacheField>
    <cacheField name="Reason_Mutual" numFmtId="0">
      <sharedItems containsBlank="1"/>
    </cacheField>
    <cacheField name="Reason_Bonds" numFmtId="0">
      <sharedItems containsBlank="1"/>
    </cacheField>
    <cacheField name="Reason_FD" numFmtId="0">
      <sharedItems containsBlank="1"/>
    </cacheField>
    <cacheField name="Sourc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9.679533449074" createdVersion="8" refreshedVersion="8" minRefreshableVersion="3" recordCount="40" xr:uid="{98392CDE-4C7E-400F-9EFA-5A5AB4C70809}">
  <cacheSource type="worksheet">
    <worksheetSource ref="A1:AB41" sheet="Financial_data"/>
  </cacheSource>
  <cacheFields count="26">
    <cacheField name="InvestorCount" numFmtId="0">
      <sharedItems containsSemiMixedTypes="0" containsString="0" containsNumber="1" containsInteger="1" minValue="1" maxValue="40"/>
    </cacheField>
    <cacheField name="gender" numFmtId="0">
      <sharedItems count="2">
        <s v="Female"/>
        <s v="Male"/>
      </sharedItems>
    </cacheField>
    <cacheField name="age" numFmtId="0">
      <sharedItems containsSemiMixedTypes="0" containsString="0" containsNumber="1" containsInteger="1" minValue="21" maxValue="35"/>
    </cacheField>
    <cacheField name="age_group" numFmtId="0">
      <sharedItems count="3">
        <s v="Mature Adults"/>
        <s v="Young Adult"/>
        <s v="Adults"/>
      </sharedItems>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ount="3">
        <s v="Capital Appreciation"/>
        <s v="Income"/>
        <s v="Growth"/>
      </sharedItems>
    </cacheField>
    <cacheField name="Purpose" numFmtId="0">
      <sharedItems/>
    </cacheField>
    <cacheField name="Duration" numFmtId="0">
      <sharedItems/>
    </cacheField>
    <cacheField name="Invest_Monitor" numFmtId="0">
      <sharedItems count="3">
        <s v="Monthly"/>
        <s v="Weekly"/>
        <s v="Daily"/>
      </sharedItems>
    </cacheField>
    <cacheField name="Expect" numFmtId="0">
      <sharedItems/>
    </cacheField>
    <cacheField name="Avenue" numFmtId="0">
      <sharedItems count="4">
        <s v="Mutual Fund"/>
        <s v="Equity"/>
        <s v="Fixed Deposits"/>
        <s v="Public Provident Fund"/>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4481085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4.656016782406" createdVersion="8" refreshedVersion="8" minRefreshableVersion="3" recordCount="40" xr:uid="{2EAE027F-081D-4183-B110-1E01ADC08025}">
  <cacheSource type="worksheet">
    <worksheetSource name="Table1"/>
  </cacheSource>
  <cacheFields count="28">
    <cacheField name="InvestorCount" numFmtId="0">
      <sharedItems containsSemiMixedTypes="0" containsString="0" containsNumber="1" containsInteger="1" minValue="1" maxValue="40"/>
    </cacheField>
    <cacheField name="gender" numFmtId="0">
      <sharedItems count="2">
        <s v="Female"/>
        <s v="Male"/>
      </sharedItems>
    </cacheField>
    <cacheField name="age" numFmtId="0">
      <sharedItems containsSemiMixedTypes="0" containsString="0" containsNumber="1" containsInteger="1" minValue="21" maxValue="35"/>
    </cacheField>
    <cacheField name="age_group" numFmtId="0">
      <sharedItems count="3">
        <s v="Mature Adults"/>
        <s v="Young Adult"/>
        <s v="Adults"/>
      </sharedItems>
    </cacheField>
    <cacheField name="Risk Category" numFmtId="0">
      <sharedItems count="3">
        <s v="Medium Risk"/>
        <s v="High Risk"/>
        <s v="Low Risk"/>
      </sharedItems>
    </cacheField>
    <cacheField name="Investor's Persona" numFmtId="0">
      <sharedItems count="3">
        <s v="Balanced Investor"/>
        <s v="Aggressive Investor"/>
        <s v="Conservative Investor"/>
      </sharedItems>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ount="3">
        <s v="Capital Appreciation"/>
        <s v="Income"/>
        <s v="Growth"/>
      </sharedItems>
    </cacheField>
    <cacheField name="Purpose" numFmtId="0">
      <sharedItems/>
    </cacheField>
    <cacheField name="Duration" numFmtId="0">
      <sharedItems count="4">
        <s v="1-3 years"/>
        <s v="More than 5 years"/>
        <s v="3-5 years"/>
        <s v="Less than 1 year"/>
      </sharedItems>
    </cacheField>
    <cacheField name="Invest_Monitor" numFmtId="0">
      <sharedItems count="3">
        <s v="Monthly"/>
        <s v="Weekly"/>
        <s v="Daily"/>
      </sharedItems>
    </cacheField>
    <cacheField name="Expect" numFmtId="0">
      <sharedItems/>
    </cacheField>
    <cacheField name="Avenue" numFmtId="0">
      <sharedItems count="4">
        <s v="Mutual Fund"/>
        <s v="Equity"/>
        <s v="Fixed Deposits"/>
        <s v="Public Provident Fund"/>
      </sharedItems>
    </cacheField>
    <cacheField name="What are your savings objectives?" numFmtId="0">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495425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
    <x v="0"/>
    <n v="34"/>
    <s v="Mature Adults"/>
    <s v="Yes"/>
    <n v="1"/>
    <n v="2"/>
    <n v="5"/>
    <n v="3"/>
    <n v="7"/>
    <n v="6"/>
    <n v="4"/>
    <s v="Yes"/>
    <s v="Returns"/>
    <s v="Capital Appreciation"/>
    <s v="Wealth Creation"/>
    <s v="1-3 years"/>
    <s v="Monthly"/>
    <s v="20%-30%"/>
    <s v="Mutual Fund"/>
    <s v="Retirement Plan"/>
    <s v="Capital Appreciation"/>
    <s v="Better Returns"/>
    <s v="Safe Investment"/>
    <s v="Fixed Returns"/>
    <s v="Newspapers and Magazines"/>
  </r>
  <r>
    <n v="2"/>
    <x v="0"/>
    <n v="23"/>
    <s v="Young Adult"/>
    <s v="Yes"/>
    <n v="4"/>
    <n v="3"/>
    <n v="2"/>
    <n v="1"/>
    <n v="5"/>
    <n v="6"/>
    <n v="7"/>
    <s v="No"/>
    <s v="Locking Period"/>
    <s v="Capital Appreciation"/>
    <s v="Wealth Creation"/>
    <s v="More than 5 years"/>
    <s v="Weekly"/>
    <s v="20%-30%"/>
    <s v="Mutual Fund"/>
    <s v="Health Care"/>
    <s v="Dividend"/>
    <s v="Better Returns"/>
    <s v="Safe Investment"/>
    <s v="High Interest Rates"/>
    <s v="Financial Consultants"/>
  </r>
  <r>
    <n v="3"/>
    <x v="1"/>
    <n v="30"/>
    <s v="Adults"/>
    <s v="Yes"/>
    <n v="3"/>
    <n v="6"/>
    <n v="4"/>
    <n v="2"/>
    <n v="5"/>
    <n v="1"/>
    <n v="7"/>
    <s v="Yes"/>
    <s v="Returns"/>
    <s v="Capital Appreciation"/>
    <s v="Wealth Creation"/>
    <s v="3-5 years"/>
    <s v="Daily"/>
    <s v="20%-30%"/>
    <s v="Equity"/>
    <s v="Retirement Plan"/>
    <s v="Capital Appreciation"/>
    <s v="Tax Benefits"/>
    <s v="Assured Returns"/>
    <s v="Fixed Returns"/>
    <s v="Television"/>
  </r>
  <r>
    <n v="4"/>
    <x v="1"/>
    <n v="22"/>
    <s v="Young Adult"/>
    <s v="Yes"/>
    <n v="2"/>
    <n v="1"/>
    <n v="3"/>
    <n v="7"/>
    <n v="6"/>
    <n v="4"/>
    <n v="5"/>
    <s v="Yes"/>
    <s v="Returns"/>
    <s v="Income"/>
    <s v="Wealth Creation"/>
    <s v="Less than 1 year"/>
    <s v="Daily"/>
    <s v="10%-20%"/>
    <s v="Equity"/>
    <s v="Retirement Plan"/>
    <s v="Dividend"/>
    <s v="Fund Diversification"/>
    <s v="Tax Incentives"/>
    <s v="High Interest Rates"/>
    <s v="Internet"/>
  </r>
  <r>
    <n v="5"/>
    <x v="0"/>
    <n v="24"/>
    <s v="Young Adult"/>
    <s v="No"/>
    <n v="2"/>
    <n v="1"/>
    <n v="3"/>
    <n v="6"/>
    <n v="4"/>
    <n v="5"/>
    <n v="7"/>
    <s v="No"/>
    <s v="Returns"/>
    <s v="Income"/>
    <s v="Wealth Creation"/>
    <s v="Less than 1 year"/>
    <s v="Daily"/>
    <s v="20%-30%"/>
    <s v="Equity"/>
    <s v="Retirement Plan"/>
    <s v="Capital Appreciation"/>
    <s v="Better Returns"/>
    <s v="Safe Investment"/>
    <s v="Risk Free"/>
    <s v="Internet"/>
  </r>
  <r>
    <n v="6"/>
    <x v="0"/>
    <n v="24"/>
    <s v="Young Adult"/>
    <s v="No"/>
    <n v="7"/>
    <n v="5"/>
    <n v="4"/>
    <n v="6"/>
    <n v="3"/>
    <n v="1"/>
    <n v="2"/>
    <s v="No"/>
    <s v="Risk"/>
    <s v="Capital Appreciation"/>
    <s v="Wealth Creation"/>
    <s v="1-3 years"/>
    <s v="Daily"/>
    <s v="30%-40%"/>
    <s v="Mutual Fund"/>
    <s v="Retirement Plan"/>
    <s v="Liquidity"/>
    <s v="Fund Diversification"/>
    <s v="Safe Investment"/>
    <s v="Risk Free"/>
    <s v="Internet"/>
  </r>
  <r>
    <n v="7"/>
    <x v="0"/>
    <n v="27"/>
    <s v="Adults"/>
    <s v="Yes"/>
    <n v="3"/>
    <n v="6"/>
    <n v="4"/>
    <n v="2"/>
    <n v="5"/>
    <n v="1"/>
    <n v="7"/>
    <s v="Yes"/>
    <s v="Returns"/>
    <s v="Capital Appreciation"/>
    <s v="Wealth Creation"/>
    <s v="3-5 years"/>
    <s v="Monthly"/>
    <s v="20%-30%"/>
    <s v="Equity"/>
    <s v="Retirement Plan"/>
    <s v="Capital Appreciation"/>
    <s v="Better Returns"/>
    <s v="Assured Returns"/>
    <s v="High Interest Rates"/>
    <s v="Financial Consultants"/>
  </r>
  <r>
    <n v="8"/>
    <x v="1"/>
    <n v="21"/>
    <s v="Young Adult"/>
    <s v="Yes"/>
    <n v="2"/>
    <n v="3"/>
    <n v="7"/>
    <n v="4"/>
    <n v="6"/>
    <n v="1"/>
    <n v="5"/>
    <s v="Yes"/>
    <s v="Risk"/>
    <s v="Capital Appreciation"/>
    <s v="Wealth Creation"/>
    <s v="3-5 years"/>
    <s v="Monthly"/>
    <s v="20%-30%"/>
    <s v="Mutual Fund"/>
    <s v="Retirement Plan"/>
    <s v="Capital Appreciation"/>
    <s v="Better Returns"/>
    <s v="Assured Returns"/>
    <s v="Risk Free"/>
    <s v="Newspapers and Magazines"/>
  </r>
  <r>
    <n v="9"/>
    <x v="1"/>
    <n v="35"/>
    <s v="Mature Adults"/>
    <s v="Yes"/>
    <n v="2"/>
    <n v="4"/>
    <n v="7"/>
    <n v="5"/>
    <n v="3"/>
    <n v="1"/>
    <n v="6"/>
    <s v="Yes"/>
    <s v="Returns"/>
    <s v="Growth"/>
    <s v="Savings for Future"/>
    <s v="1-3 years"/>
    <s v="Weekly"/>
    <s v="20%-30%"/>
    <s v="Equity"/>
    <s v="Retirement Plan"/>
    <s v="Capital Appreciation"/>
    <s v="Fund Diversification"/>
    <s v="Safe Investment"/>
    <s v="Fixed Returns"/>
    <s v="Television"/>
  </r>
  <r>
    <n v="10"/>
    <x v="1"/>
    <n v="31"/>
    <s v="Mature Adults"/>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r>
  <r>
    <n v="11"/>
    <x v="0"/>
    <n v="35"/>
    <s v="Mature Adults"/>
    <s v="Yes"/>
    <n v="2"/>
    <n v="4"/>
    <n v="7"/>
    <n v="5"/>
    <n v="3"/>
    <n v="1"/>
    <n v="6"/>
    <s v="Yes"/>
    <s v="Risk"/>
    <s v="Growth"/>
    <s v="Savings for Future"/>
    <s v="3-5 years"/>
    <s v="Monthly"/>
    <s v="20%-30%"/>
    <s v="Mutual Fund"/>
    <s v="Retirement Plan"/>
    <s v="Capital Appreciation"/>
    <s v="Better Returns"/>
    <s v="Assured Returns"/>
    <s v="Risk Free"/>
    <s v="Financial Consultants"/>
  </r>
  <r>
    <n v="12"/>
    <x v="1"/>
    <n v="29"/>
    <s v="Adults"/>
    <s v="Yes"/>
    <n v="2"/>
    <n v="5"/>
    <n v="7"/>
    <n v="6"/>
    <n v="3"/>
    <n v="1"/>
    <n v="4"/>
    <s v="Yes"/>
    <s v="Risk"/>
    <s v="Capital Appreciation"/>
    <s v="Wealth Creation"/>
    <s v="1-3 years"/>
    <s v="Monthly"/>
    <s v="20%-30%"/>
    <s v="Mutual Fund"/>
    <s v="Retirement Plan"/>
    <s v="Capital Appreciation"/>
    <s v="Fund Diversification"/>
    <s v="Assured Returns"/>
    <s v="Fixed Returns"/>
    <s v="Financial Consultants"/>
  </r>
  <r>
    <n v="13"/>
    <x v="0"/>
    <n v="21"/>
    <s v="Young Adult"/>
    <s v="No"/>
    <n v="1"/>
    <n v="2"/>
    <n v="3"/>
    <n v="4"/>
    <n v="5"/>
    <n v="6"/>
    <n v="7"/>
    <s v="No"/>
    <s v="Returns"/>
    <s v="Capital Appreciation"/>
    <s v="Savings for Future"/>
    <s v="1-3 years"/>
    <s v="Weekly"/>
    <s v="20%-30%"/>
    <s v="Mutual Fund"/>
    <s v="Education"/>
    <s v="Dividend"/>
    <s v="Better Returns"/>
    <s v="Safe Investment"/>
    <s v="Risk Free"/>
    <s v="Internet"/>
  </r>
  <r>
    <n v="14"/>
    <x v="0"/>
    <n v="28"/>
    <s v="Adults"/>
    <s v="Yes"/>
    <n v="2"/>
    <n v="3"/>
    <n v="7"/>
    <n v="4"/>
    <n v="5"/>
    <n v="1"/>
    <n v="6"/>
    <s v="Yes"/>
    <s v="Returns"/>
    <s v="Capital Appreciation"/>
    <s v="Wealth Creation"/>
    <s v="1-3 years"/>
    <s v="Monthly"/>
    <s v="20%-30%"/>
    <s v="Mutual Fund"/>
    <s v="Retirement Plan"/>
    <s v="Capital Appreciation"/>
    <s v="Fund Diversification"/>
    <s v="Assured Returns"/>
    <s v="Risk Free"/>
    <s v="Newspapers and Magazines"/>
  </r>
  <r>
    <n v="15"/>
    <x v="0"/>
    <n v="25"/>
    <s v="Young Adult"/>
    <s v="Yes"/>
    <n v="2"/>
    <n v="3"/>
    <n v="7"/>
    <n v="5"/>
    <n v="4"/>
    <n v="1"/>
    <n v="6"/>
    <s v="Yes"/>
    <s v="Returns"/>
    <s v="Capital Appreciation"/>
    <s v="Wealth Creation"/>
    <s v="1-3 years"/>
    <s v="Monthly"/>
    <s v="20%-30%"/>
    <s v="Fixed Deposits"/>
    <s v="Health Care"/>
    <s v="Dividend"/>
    <s v="Better Returns"/>
    <s v="Assured Returns"/>
    <s v="Risk Free"/>
    <s v="Financial Consultants"/>
  </r>
  <r>
    <n v="16"/>
    <x v="1"/>
    <n v="27"/>
    <s v="Adults"/>
    <s v="Yes"/>
    <n v="2"/>
    <n v="3"/>
    <n v="7"/>
    <n v="5"/>
    <n v="4"/>
    <n v="1"/>
    <n v="6"/>
    <s v="Yes"/>
    <s v="Returns"/>
    <s v="Capital Appreciation"/>
    <s v="Wealth Creation"/>
    <s v="1-3 years"/>
    <s v="Monthly"/>
    <s v="20%-30%"/>
    <s v="Mutual Fund"/>
    <s v="Health Care"/>
    <s v="Capital Appreciation"/>
    <s v="Fund Diversification"/>
    <s v="Assured Returns"/>
    <s v="Risk Free"/>
    <s v="Newspapers and Magazines"/>
  </r>
  <r>
    <n v="17"/>
    <x v="0"/>
    <n v="28"/>
    <s v="Adults"/>
    <s v="Yes"/>
    <n v="3"/>
    <n v="2"/>
    <n v="7"/>
    <n v="5"/>
    <n v="4"/>
    <n v="1"/>
    <n v="6"/>
    <s v="Yes"/>
    <s v="Risk"/>
    <s v="Growth"/>
    <s v="Wealth Creation"/>
    <s v="1-3 years"/>
    <s v="Monthly"/>
    <s v="20%-30%"/>
    <s v="Fixed Deposits"/>
    <s v="Health Care"/>
    <s v="Capital Appreciation"/>
    <s v="Fund Diversification"/>
    <s v="Assured Returns"/>
    <s v="Risk Free"/>
    <s v="Television"/>
  </r>
  <r>
    <n v="18"/>
    <x v="1"/>
    <n v="27"/>
    <s v="Adults"/>
    <s v="Yes"/>
    <n v="3"/>
    <n v="2"/>
    <n v="7"/>
    <n v="4"/>
    <n v="5"/>
    <n v="1"/>
    <n v="6"/>
    <s v="Yes"/>
    <s v="Returns"/>
    <s v="Capital Appreciation"/>
    <s v="Wealth Creation"/>
    <s v="1-3 years"/>
    <s v="Monthly"/>
    <s v="20%-30%"/>
    <s v="Mutual Fund"/>
    <s v="Retirement Plan"/>
    <s v="Capital Appreciation"/>
    <s v="Better Returns"/>
    <s v="Assured Returns"/>
    <s v="Risk Free"/>
    <s v="Financial Consultants"/>
  </r>
  <r>
    <n v="19"/>
    <x v="1"/>
    <n v="29"/>
    <s v="Adults"/>
    <s v="Yes"/>
    <n v="3"/>
    <n v="2"/>
    <n v="7"/>
    <n v="4"/>
    <n v="5"/>
    <n v="1"/>
    <n v="6"/>
    <s v="Yes"/>
    <s v="Risk"/>
    <s v="Capital Appreciation"/>
    <s v="Wealth Creation"/>
    <s v="1-3 years"/>
    <s v="Monthly"/>
    <s v="20%-30%"/>
    <s v="Mutual Fund"/>
    <s v="Retirement Plan"/>
    <s v="Capital Appreciation"/>
    <s v="Better Returns"/>
    <s v="Assured Returns"/>
    <s v="Risk Free"/>
    <s v="Newspapers and Magazines"/>
  </r>
  <r>
    <n v="20"/>
    <x v="1"/>
    <n v="26"/>
    <s v="Adults"/>
    <s v="Yes"/>
    <n v="3"/>
    <n v="4"/>
    <n v="6"/>
    <n v="5"/>
    <n v="1"/>
    <n v="2"/>
    <n v="7"/>
    <s v="Yes"/>
    <s v="Risk"/>
    <s v="Capital Appreciation"/>
    <s v="Wealth Creation"/>
    <s v="3-5 years"/>
    <s v="Monthly"/>
    <s v="20%-30%"/>
    <s v="Fixed Deposits"/>
    <s v="Health Care"/>
    <s v="Capital Appreciation"/>
    <s v="Fund Diversification"/>
    <s v="Assured Returns"/>
    <s v="Risk Free"/>
    <s v="Newspapers and Magazines"/>
  </r>
  <r>
    <n v="21"/>
    <x v="1"/>
    <n v="29"/>
    <s v="Adults"/>
    <s v="Yes"/>
    <n v="2"/>
    <n v="4"/>
    <n v="7"/>
    <n v="5"/>
    <n v="3"/>
    <n v="1"/>
    <n v="6"/>
    <s v="Yes"/>
    <s v="Returns"/>
    <s v="Growth"/>
    <s v="Wealth Creation"/>
    <s v="3-5 years"/>
    <s v="Weekly"/>
    <s v="20%-30%"/>
    <s v="Mutual Fund"/>
    <s v="Retirement Plan"/>
    <s v="Capital Appreciation"/>
    <s v="Better Returns"/>
    <s v="Assured Returns"/>
    <s v="Fixed Returns"/>
    <s v="Financial Consultants"/>
  </r>
  <r>
    <n v="22"/>
    <x v="0"/>
    <n v="24"/>
    <s v="Young Adult"/>
    <s v="Yes"/>
    <n v="2"/>
    <n v="4"/>
    <n v="5"/>
    <n v="6"/>
    <n v="3"/>
    <n v="1"/>
    <n v="7"/>
    <s v="Yes"/>
    <s v="Risk"/>
    <s v="Capital Appreciation"/>
    <s v="Wealth Creation"/>
    <s v="3-5 years"/>
    <s v="Monthly"/>
    <s v="20%-30%"/>
    <s v="Equity"/>
    <s v="Health Care"/>
    <s v="Capital Appreciation"/>
    <s v="Better Returns"/>
    <s v="Assured Returns"/>
    <s v="Risk Free"/>
    <s v="Newspapers and Magazines"/>
  </r>
  <r>
    <n v="23"/>
    <x v="1"/>
    <n v="27"/>
    <s v="Adults"/>
    <s v="Yes"/>
    <n v="3"/>
    <n v="4"/>
    <n v="6"/>
    <n v="5"/>
    <n v="2"/>
    <n v="1"/>
    <n v="7"/>
    <s v="Yes"/>
    <s v="Returns"/>
    <s v="Capital Appreciation"/>
    <s v="Wealth Creation"/>
    <s v="3-5 years"/>
    <s v="Monthly"/>
    <s v="20%-30%"/>
    <s v="Mutual Fund"/>
    <s v="Retirement Plan"/>
    <s v="Capital Appreciation"/>
    <s v="Better Returns"/>
    <s v="Assured Returns"/>
    <s v="Risk Free"/>
    <s v="Financial Consultants"/>
  </r>
  <r>
    <n v="24"/>
    <x v="1"/>
    <n v="25"/>
    <s v="Young Adult"/>
    <s v="Yes"/>
    <n v="2"/>
    <n v="4"/>
    <n v="6"/>
    <n v="5"/>
    <n v="3"/>
    <n v="1"/>
    <n v="7"/>
    <s v="Yes"/>
    <s v="Risk"/>
    <s v="Growth"/>
    <s v="Savings for Future"/>
    <s v="3-5 years"/>
    <s v="Weekly"/>
    <s v="20%-30%"/>
    <s v="Public Provident Fund"/>
    <s v="Health Care"/>
    <s v="Liquidity"/>
    <s v="Better Returns"/>
    <s v="Assured Returns"/>
    <s v="Risk Free"/>
    <s v="Financial Consultants"/>
  </r>
  <r>
    <n v="25"/>
    <x v="0"/>
    <n v="26"/>
    <s v="Adults"/>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r>
  <r>
    <n v="26"/>
    <x v="0"/>
    <n v="32"/>
    <s v="Mature Adults"/>
    <s v="Yes"/>
    <n v="3"/>
    <n v="4"/>
    <n v="7"/>
    <n v="5"/>
    <n v="1"/>
    <n v="2"/>
    <n v="6"/>
    <s v="Yes"/>
    <s v="Risk"/>
    <s v="Growth"/>
    <s v="Wealth Creation"/>
    <s v="3-5 years"/>
    <s v="Monthly"/>
    <s v="20%-30%"/>
    <s v="Mutual Fund"/>
    <s v="Retirement Plan"/>
    <s v="Capital Appreciation"/>
    <s v="Better Returns"/>
    <s v="Assured Returns"/>
    <s v="Fixed Returns"/>
    <s v="Financial Consultants"/>
  </r>
  <r>
    <n v="27"/>
    <x v="1"/>
    <n v="26"/>
    <s v="Adults"/>
    <s v="Yes"/>
    <n v="3"/>
    <n v="4"/>
    <n v="6"/>
    <n v="5"/>
    <n v="1"/>
    <n v="2"/>
    <n v="7"/>
    <s v="Yes"/>
    <s v="Returns"/>
    <s v="Capital Appreciation"/>
    <s v="Wealth Creation"/>
    <s v="3-5 years"/>
    <s v="Monthly"/>
    <s v="20%-30%"/>
    <s v="Mutual Fund"/>
    <s v="Retirement Plan"/>
    <s v="Dividend"/>
    <s v="Fund Diversification"/>
    <s v="Assured Returns"/>
    <s v="Fixed Returns"/>
    <s v="Financial Consultants"/>
  </r>
  <r>
    <n v="28"/>
    <x v="1"/>
    <n v="31"/>
    <s v="Mature Adults"/>
    <s v="Yes"/>
    <n v="2"/>
    <n v="3"/>
    <n v="7"/>
    <n v="6"/>
    <n v="4"/>
    <n v="1"/>
    <n v="5"/>
    <s v="Yes"/>
    <s v="Risk"/>
    <s v="Growth"/>
    <s v="Savings for Future"/>
    <s v="1-3 years"/>
    <s v="Monthly"/>
    <s v="20%-30%"/>
    <s v="Fixed Deposits"/>
    <s v="Health Care"/>
    <s v="Capital Appreciation"/>
    <s v="Fund Diversification"/>
    <s v="Safe Investment"/>
    <s v="Fixed Returns"/>
    <s v="Television"/>
  </r>
  <r>
    <n v="29"/>
    <x v="1"/>
    <n v="29"/>
    <s v="Adults"/>
    <s v="Yes"/>
    <n v="2"/>
    <n v="3"/>
    <n v="6"/>
    <n v="5"/>
    <n v="1"/>
    <n v="4"/>
    <n v="7"/>
    <s v="Yes"/>
    <s v="Returns"/>
    <s v="Capital Appreciation"/>
    <s v="Wealth Creation"/>
    <s v="1-3 years"/>
    <s v="Monthly"/>
    <s v="20%-30%"/>
    <s v="Equity"/>
    <s v="Retirement Plan"/>
    <s v="Capital Appreciation"/>
    <s v="Better Returns"/>
    <s v="Assured Returns"/>
    <s v="Risk Free"/>
    <s v="Television"/>
  </r>
  <r>
    <n v="30"/>
    <x v="0"/>
    <n v="34"/>
    <s v="Mature Adults"/>
    <s v="Yes"/>
    <n v="5"/>
    <n v="4"/>
    <n v="3"/>
    <n v="2"/>
    <n v="7"/>
    <n v="1"/>
    <n v="6"/>
    <s v="Yes"/>
    <s v="Returns"/>
    <s v="Income"/>
    <s v="Returns"/>
    <s v="3-5 years"/>
    <s v="Monthly"/>
    <s v="10%-20%"/>
    <s v="Mutual Fund"/>
    <s v="Retirement Plan"/>
    <s v="Capital Appreciation"/>
    <s v="Tax Benefits"/>
    <s v="Safe Investment"/>
    <s v="Fixed Returns"/>
    <s v="Newspapers and Magazines"/>
  </r>
  <r>
    <n v="31"/>
    <x v="1"/>
    <n v="27"/>
    <s v="Adults"/>
    <s v="Yes"/>
    <n v="4"/>
    <n v="5"/>
    <n v="1"/>
    <n v="2"/>
    <n v="7"/>
    <n v="3"/>
    <n v="6"/>
    <s v="No"/>
    <s v="Returns"/>
    <s v="Growth"/>
    <s v="Wealth Creation"/>
    <s v="1-3 years"/>
    <s v="Monthly"/>
    <s v="10%-20%"/>
    <s v="Mutual Fund"/>
    <s v="Education"/>
    <s v="Capital Appreciation"/>
    <s v="Tax Benefits"/>
    <s v="Safe Investment"/>
    <s v="Fixed Returns"/>
    <s v="Television"/>
  </r>
  <r>
    <n v="32"/>
    <x v="0"/>
    <n v="31"/>
    <s v="Mature Adults"/>
    <s v="Yes"/>
    <n v="2"/>
    <n v="4"/>
    <n v="7"/>
    <n v="6"/>
    <n v="3"/>
    <n v="1"/>
    <n v="5"/>
    <s v="Yes"/>
    <s v="Returns"/>
    <s v="Capital Appreciation"/>
    <s v="Wealth Creation"/>
    <s v="3-5 years"/>
    <s v="Monthly"/>
    <s v="20%-30%"/>
    <s v="Fixed Deposits"/>
    <s v="Retirement Plan"/>
    <s v="Capital Appreciation"/>
    <s v="Better Returns"/>
    <s v="Assured Returns"/>
    <s v="Fixed Returns"/>
    <s v="Financial Consultants"/>
  </r>
  <r>
    <n v="33"/>
    <x v="1"/>
    <n v="27"/>
    <s v="Adults"/>
    <s v="Yes"/>
    <n v="2"/>
    <n v="4"/>
    <n v="7"/>
    <n v="5"/>
    <n v="1"/>
    <n v="3"/>
    <n v="6"/>
    <s v="Yes"/>
    <s v="Returns"/>
    <s v="Capital Appreciation"/>
    <s v="Wealth Creation"/>
    <s v="3-5 years"/>
    <s v="Monthly"/>
    <s v="30%-40%"/>
    <s v="Equity"/>
    <s v="Health Care"/>
    <s v="Capital Appreciation"/>
    <s v="Fund Diversification"/>
    <s v="Assured Returns"/>
    <s v="Fixed Returns"/>
    <s v="Newspapers and Magazines"/>
  </r>
  <r>
    <n v="34"/>
    <x v="1"/>
    <n v="26"/>
    <s v="Adults"/>
    <s v="Yes"/>
    <n v="2"/>
    <n v="3"/>
    <n v="6"/>
    <n v="4"/>
    <n v="1"/>
    <n v="5"/>
    <n v="7"/>
    <s v="Yes"/>
    <s v="Returns"/>
    <s v="Capital Appreciation"/>
    <s v="Returns"/>
    <s v="1-3 years"/>
    <s v="Monthly"/>
    <s v="20%-30%"/>
    <s v="Fixed Deposits"/>
    <s v="Education"/>
    <s v="Dividend"/>
    <s v="Better Returns"/>
    <s v="Safe Investment"/>
    <s v="Risk Free"/>
    <s v="Newspapers and Magazines"/>
  </r>
  <r>
    <n v="35"/>
    <x v="1"/>
    <n v="27"/>
    <s v="Adults"/>
    <s v="Yes"/>
    <n v="2"/>
    <n v="3"/>
    <n v="6"/>
    <n v="5"/>
    <n v="4"/>
    <n v="1"/>
    <n v="7"/>
    <s v="Yes"/>
    <s v="Returns"/>
    <s v="Capital Appreciation"/>
    <s v="Wealth Creation"/>
    <s v="1-3 years"/>
    <s v="Weekly"/>
    <s v="20%-30%"/>
    <s v="Mutual Fund"/>
    <s v="Health Care"/>
    <s v="Capital Appreciation"/>
    <s v="Better Returns"/>
    <s v="Safe Investment"/>
    <s v="Fixed Returns"/>
    <s v="Financial Consultants"/>
  </r>
  <r>
    <n v="36"/>
    <x v="1"/>
    <n v="30"/>
    <s v="Adults"/>
    <s v="Yes"/>
    <n v="1"/>
    <n v="4"/>
    <n v="6"/>
    <n v="5"/>
    <n v="3"/>
    <n v="2"/>
    <n v="7"/>
    <s v="Yes"/>
    <s v="Risk"/>
    <s v="Growth"/>
    <s v="Wealth Creation"/>
    <s v="3-5 years"/>
    <s v="Monthly"/>
    <s v="20%-30%"/>
    <s v="Fixed Deposits"/>
    <s v="Health Care"/>
    <s v="Capital Appreciation"/>
    <s v="Better Returns"/>
    <s v="Assured Returns"/>
    <s v="Fixed Returns"/>
    <s v="Financial Consultants"/>
  </r>
  <r>
    <n v="37"/>
    <x v="1"/>
    <n v="30"/>
    <s v="Adults"/>
    <s v="Yes"/>
    <n v="2"/>
    <n v="4"/>
    <n v="7"/>
    <n v="5"/>
    <n v="1"/>
    <n v="3"/>
    <n v="6"/>
    <s v="Yes"/>
    <s v="Returns"/>
    <s v="Capital Appreciation"/>
    <s v="Wealth Creation"/>
    <s v="1-3 years"/>
    <s v="Monthly"/>
    <s v="20%-30%"/>
    <s v="Equity"/>
    <s v="Retirement Plan"/>
    <s v="Capital Appreciation"/>
    <s v="Better Returns"/>
    <s v="Assured Returns"/>
    <s v="Risk Free"/>
    <s v="Newspapers and Magazines"/>
  </r>
  <r>
    <n v="38"/>
    <x v="1"/>
    <n v="25"/>
    <s v="Young Adult"/>
    <s v="Yes"/>
    <n v="5"/>
    <n v="4"/>
    <n v="7"/>
    <n v="6"/>
    <n v="1"/>
    <n v="2"/>
    <n v="3"/>
    <s v="Yes"/>
    <s v="Risk"/>
    <s v="Growth"/>
    <s v="Savings for Future"/>
    <s v="3-5 years"/>
    <s v="Monthly"/>
    <s v="30%-40%"/>
    <s v="Public Provident Fund"/>
    <s v="Health Care"/>
    <s v="Capital Appreciation"/>
    <s v="Better Returns"/>
    <s v="Safe Investment"/>
    <s v="Fixed Returns"/>
    <s v="Financial Consultants"/>
  </r>
  <r>
    <n v="39"/>
    <x v="1"/>
    <n v="31"/>
    <s v="Mature Adults"/>
    <s v="Yes"/>
    <n v="2"/>
    <n v="4"/>
    <n v="7"/>
    <n v="5"/>
    <n v="3"/>
    <n v="1"/>
    <n v="6"/>
    <s v="Yes"/>
    <s v="Risk"/>
    <s v="Growth"/>
    <s v="Wealth Creation"/>
    <s v="1-3 years"/>
    <s v="Weekly"/>
    <s v="20%-30%"/>
    <s v="Equity"/>
    <s v="Health Care"/>
    <s v="Dividend"/>
    <s v="Fund Diversification"/>
    <s v="Assured Returns"/>
    <s v="Fixed Returns"/>
    <s v="Newspapers and Magazines"/>
  </r>
  <r>
    <n v="40"/>
    <x v="1"/>
    <n v="29"/>
    <s v="Adults"/>
    <s v="Yes"/>
    <n v="4"/>
    <n v="3"/>
    <n v="5"/>
    <n v="7"/>
    <n v="2"/>
    <n v="1"/>
    <n v="6"/>
    <s v="Yes"/>
    <s v="Returns"/>
    <s v="Capital Appreciation"/>
    <s v="Wealth Creation"/>
    <s v="3-5 years"/>
    <s v="Monthly"/>
    <s v="20%-30%"/>
    <s v="Fixed Deposits"/>
    <s v="Retirement Plan"/>
    <s v="Dividend"/>
    <s v="Better Returns"/>
    <s v="Safe Investment"/>
    <s v="Fixed Returns"/>
    <s v="Financial Consultants"/>
  </r>
  <r>
    <m/>
    <x v="2"/>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x v="0"/>
    <n v="34"/>
    <x v="0"/>
    <x v="0"/>
    <n v="1"/>
    <n v="2"/>
    <n v="5"/>
    <n v="3"/>
    <n v="7"/>
    <n v="6"/>
    <n v="4"/>
    <s v="Yes"/>
    <s v="Returns"/>
    <x v="0"/>
    <s v="Wealth Creation"/>
    <s v="1-3 years"/>
    <x v="0"/>
    <s v="20%-30%"/>
    <x v="0"/>
    <x v="0"/>
    <s v="Capital Appreciation"/>
    <s v="Better Returns"/>
    <s v="Safe Investment"/>
    <s v="Fixed Returns"/>
    <s v="Newspapers and Magazines"/>
  </r>
  <r>
    <n v="2"/>
    <x v="0"/>
    <n v="23"/>
    <x v="1"/>
    <x v="0"/>
    <n v="4"/>
    <n v="3"/>
    <n v="2"/>
    <n v="1"/>
    <n v="5"/>
    <n v="6"/>
    <n v="7"/>
    <s v="No"/>
    <s v="Locking Period"/>
    <x v="0"/>
    <s v="Wealth Creation"/>
    <s v="More than 5 years"/>
    <x v="1"/>
    <s v="20%-30%"/>
    <x v="0"/>
    <x v="1"/>
    <s v="Dividend"/>
    <s v="Better Returns"/>
    <s v="Safe Investment"/>
    <s v="High Interest Rates"/>
    <s v="Financial Consultants"/>
  </r>
  <r>
    <n v="3"/>
    <x v="1"/>
    <n v="30"/>
    <x v="2"/>
    <x v="0"/>
    <n v="3"/>
    <n v="6"/>
    <n v="4"/>
    <n v="2"/>
    <n v="5"/>
    <n v="1"/>
    <n v="7"/>
    <s v="Yes"/>
    <s v="Returns"/>
    <x v="0"/>
    <s v="Wealth Creation"/>
    <s v="3-5 years"/>
    <x v="2"/>
    <s v="20%-30%"/>
    <x v="1"/>
    <x v="0"/>
    <s v="Capital Appreciation"/>
    <s v="Tax Benefits"/>
    <s v="Assured Returns"/>
    <s v="Fixed Returns"/>
    <s v="Television"/>
  </r>
  <r>
    <n v="4"/>
    <x v="1"/>
    <n v="22"/>
    <x v="1"/>
    <x v="0"/>
    <n v="2"/>
    <n v="1"/>
    <n v="3"/>
    <n v="7"/>
    <n v="6"/>
    <n v="4"/>
    <n v="5"/>
    <s v="Yes"/>
    <s v="Returns"/>
    <x v="1"/>
    <s v="Wealth Creation"/>
    <s v="Less than 1 year"/>
    <x v="2"/>
    <s v="10%-20%"/>
    <x v="1"/>
    <x v="0"/>
    <s v="Dividend"/>
    <s v="Fund Diversification"/>
    <s v="Tax Incentives"/>
    <s v="High Interest Rates"/>
    <s v="Internet"/>
  </r>
  <r>
    <n v="5"/>
    <x v="0"/>
    <n v="24"/>
    <x v="1"/>
    <x v="1"/>
    <n v="2"/>
    <n v="1"/>
    <n v="3"/>
    <n v="6"/>
    <n v="4"/>
    <n v="5"/>
    <n v="7"/>
    <s v="No"/>
    <s v="Returns"/>
    <x v="1"/>
    <s v="Wealth Creation"/>
    <s v="Less than 1 year"/>
    <x v="2"/>
    <s v="20%-30%"/>
    <x v="1"/>
    <x v="0"/>
    <s v="Capital Appreciation"/>
    <s v="Better Returns"/>
    <s v="Safe Investment"/>
    <s v="Risk Free"/>
    <s v="Internet"/>
  </r>
  <r>
    <n v="6"/>
    <x v="0"/>
    <n v="24"/>
    <x v="1"/>
    <x v="1"/>
    <n v="7"/>
    <n v="5"/>
    <n v="4"/>
    <n v="6"/>
    <n v="3"/>
    <n v="1"/>
    <n v="2"/>
    <s v="No"/>
    <s v="Risk"/>
    <x v="0"/>
    <s v="Wealth Creation"/>
    <s v="1-3 years"/>
    <x v="2"/>
    <s v="30%-40%"/>
    <x v="0"/>
    <x v="0"/>
    <s v="Liquidity"/>
    <s v="Fund Diversification"/>
    <s v="Safe Investment"/>
    <s v="Risk Free"/>
    <s v="Internet"/>
  </r>
  <r>
    <n v="7"/>
    <x v="0"/>
    <n v="27"/>
    <x v="2"/>
    <x v="0"/>
    <n v="3"/>
    <n v="6"/>
    <n v="4"/>
    <n v="2"/>
    <n v="5"/>
    <n v="1"/>
    <n v="7"/>
    <s v="Yes"/>
    <s v="Returns"/>
    <x v="0"/>
    <s v="Wealth Creation"/>
    <s v="3-5 years"/>
    <x v="0"/>
    <s v="20%-30%"/>
    <x v="1"/>
    <x v="0"/>
    <s v="Capital Appreciation"/>
    <s v="Better Returns"/>
    <s v="Assured Returns"/>
    <s v="High Interest Rates"/>
    <s v="Financial Consultants"/>
  </r>
  <r>
    <n v="8"/>
    <x v="1"/>
    <n v="21"/>
    <x v="1"/>
    <x v="0"/>
    <n v="2"/>
    <n v="3"/>
    <n v="7"/>
    <n v="4"/>
    <n v="6"/>
    <n v="1"/>
    <n v="5"/>
    <s v="Yes"/>
    <s v="Risk"/>
    <x v="0"/>
    <s v="Wealth Creation"/>
    <s v="3-5 years"/>
    <x v="0"/>
    <s v="20%-30%"/>
    <x v="0"/>
    <x v="0"/>
    <s v="Capital Appreciation"/>
    <s v="Better Returns"/>
    <s v="Assured Returns"/>
    <s v="Risk Free"/>
    <s v="Newspapers and Magazines"/>
  </r>
  <r>
    <n v="9"/>
    <x v="1"/>
    <n v="35"/>
    <x v="0"/>
    <x v="0"/>
    <n v="2"/>
    <n v="4"/>
    <n v="7"/>
    <n v="5"/>
    <n v="3"/>
    <n v="1"/>
    <n v="6"/>
    <s v="Yes"/>
    <s v="Returns"/>
    <x v="2"/>
    <s v="Savings for Future"/>
    <s v="1-3 years"/>
    <x v="1"/>
    <s v="20%-30%"/>
    <x v="1"/>
    <x v="0"/>
    <s v="Capital Appreciation"/>
    <s v="Fund Diversification"/>
    <s v="Safe Investment"/>
    <s v="Fixed Returns"/>
    <s v="Television"/>
  </r>
  <r>
    <n v="10"/>
    <x v="1"/>
    <n v="31"/>
    <x v="0"/>
    <x v="0"/>
    <n v="1"/>
    <n v="3"/>
    <n v="7"/>
    <n v="4"/>
    <n v="5"/>
    <n v="2"/>
    <n v="6"/>
    <s v="Yes"/>
    <s v="Returns"/>
    <x v="0"/>
    <s v="Wealth Creation"/>
    <s v="3-5 years"/>
    <x v="0"/>
    <s v="30%-40%"/>
    <x v="2"/>
    <x v="0"/>
    <s v="Capital Appreciation"/>
    <s v="Fund Diversification"/>
    <s v="Assured Returns"/>
    <s v="Fixed Returns"/>
    <s v="Newspapers and Magazines"/>
  </r>
  <r>
    <n v="11"/>
    <x v="0"/>
    <n v="35"/>
    <x v="0"/>
    <x v="0"/>
    <n v="2"/>
    <n v="4"/>
    <n v="7"/>
    <n v="5"/>
    <n v="3"/>
    <n v="1"/>
    <n v="6"/>
    <s v="Yes"/>
    <s v="Risk"/>
    <x v="2"/>
    <s v="Savings for Future"/>
    <s v="3-5 years"/>
    <x v="0"/>
    <s v="20%-30%"/>
    <x v="0"/>
    <x v="0"/>
    <s v="Capital Appreciation"/>
    <s v="Better Returns"/>
    <s v="Assured Returns"/>
    <s v="Risk Free"/>
    <s v="Financial Consultants"/>
  </r>
  <r>
    <n v="12"/>
    <x v="1"/>
    <n v="29"/>
    <x v="2"/>
    <x v="0"/>
    <n v="2"/>
    <n v="5"/>
    <n v="7"/>
    <n v="6"/>
    <n v="3"/>
    <n v="1"/>
    <n v="4"/>
    <s v="Yes"/>
    <s v="Risk"/>
    <x v="0"/>
    <s v="Wealth Creation"/>
    <s v="1-3 years"/>
    <x v="0"/>
    <s v="20%-30%"/>
    <x v="0"/>
    <x v="0"/>
    <s v="Capital Appreciation"/>
    <s v="Fund Diversification"/>
    <s v="Assured Returns"/>
    <s v="Fixed Returns"/>
    <s v="Financial Consultants"/>
  </r>
  <r>
    <n v="13"/>
    <x v="0"/>
    <n v="21"/>
    <x v="1"/>
    <x v="1"/>
    <n v="1"/>
    <n v="2"/>
    <n v="3"/>
    <n v="4"/>
    <n v="5"/>
    <n v="6"/>
    <n v="7"/>
    <s v="No"/>
    <s v="Returns"/>
    <x v="0"/>
    <s v="Savings for Future"/>
    <s v="1-3 years"/>
    <x v="1"/>
    <s v="20%-30%"/>
    <x v="0"/>
    <x v="2"/>
    <s v="Dividend"/>
    <s v="Better Returns"/>
    <s v="Safe Investment"/>
    <s v="Risk Free"/>
    <s v="Internet"/>
  </r>
  <r>
    <n v="14"/>
    <x v="0"/>
    <n v="28"/>
    <x v="2"/>
    <x v="0"/>
    <n v="2"/>
    <n v="3"/>
    <n v="7"/>
    <n v="4"/>
    <n v="5"/>
    <n v="1"/>
    <n v="6"/>
    <s v="Yes"/>
    <s v="Returns"/>
    <x v="0"/>
    <s v="Wealth Creation"/>
    <s v="1-3 years"/>
    <x v="0"/>
    <s v="20%-30%"/>
    <x v="0"/>
    <x v="0"/>
    <s v="Capital Appreciation"/>
    <s v="Fund Diversification"/>
    <s v="Assured Returns"/>
    <s v="Risk Free"/>
    <s v="Newspapers and Magazines"/>
  </r>
  <r>
    <n v="15"/>
    <x v="0"/>
    <n v="25"/>
    <x v="1"/>
    <x v="0"/>
    <n v="2"/>
    <n v="3"/>
    <n v="7"/>
    <n v="5"/>
    <n v="4"/>
    <n v="1"/>
    <n v="6"/>
    <s v="Yes"/>
    <s v="Returns"/>
    <x v="0"/>
    <s v="Wealth Creation"/>
    <s v="1-3 years"/>
    <x v="0"/>
    <s v="20%-30%"/>
    <x v="2"/>
    <x v="1"/>
    <s v="Dividend"/>
    <s v="Better Returns"/>
    <s v="Assured Returns"/>
    <s v="Risk Free"/>
    <s v="Financial Consultants"/>
  </r>
  <r>
    <n v="16"/>
    <x v="1"/>
    <n v="27"/>
    <x v="2"/>
    <x v="0"/>
    <n v="2"/>
    <n v="3"/>
    <n v="7"/>
    <n v="5"/>
    <n v="4"/>
    <n v="1"/>
    <n v="6"/>
    <s v="Yes"/>
    <s v="Returns"/>
    <x v="0"/>
    <s v="Wealth Creation"/>
    <s v="1-3 years"/>
    <x v="0"/>
    <s v="20%-30%"/>
    <x v="0"/>
    <x v="1"/>
    <s v="Capital Appreciation"/>
    <s v="Fund Diversification"/>
    <s v="Assured Returns"/>
    <s v="Risk Free"/>
    <s v="Newspapers and Magazines"/>
  </r>
  <r>
    <n v="17"/>
    <x v="0"/>
    <n v="28"/>
    <x v="2"/>
    <x v="0"/>
    <n v="3"/>
    <n v="2"/>
    <n v="7"/>
    <n v="5"/>
    <n v="4"/>
    <n v="1"/>
    <n v="6"/>
    <s v="Yes"/>
    <s v="Risk"/>
    <x v="2"/>
    <s v="Wealth Creation"/>
    <s v="1-3 years"/>
    <x v="0"/>
    <s v="20%-30%"/>
    <x v="2"/>
    <x v="1"/>
    <s v="Capital Appreciation"/>
    <s v="Fund Diversification"/>
    <s v="Assured Returns"/>
    <s v="Risk Free"/>
    <s v="Television"/>
  </r>
  <r>
    <n v="18"/>
    <x v="1"/>
    <n v="27"/>
    <x v="2"/>
    <x v="0"/>
    <n v="3"/>
    <n v="2"/>
    <n v="7"/>
    <n v="4"/>
    <n v="5"/>
    <n v="1"/>
    <n v="6"/>
    <s v="Yes"/>
    <s v="Returns"/>
    <x v="0"/>
    <s v="Wealth Creation"/>
    <s v="1-3 years"/>
    <x v="0"/>
    <s v="20%-30%"/>
    <x v="0"/>
    <x v="0"/>
    <s v="Capital Appreciation"/>
    <s v="Better Returns"/>
    <s v="Assured Returns"/>
    <s v="Risk Free"/>
    <s v="Financial Consultants"/>
  </r>
  <r>
    <n v="19"/>
    <x v="1"/>
    <n v="29"/>
    <x v="2"/>
    <x v="0"/>
    <n v="3"/>
    <n v="2"/>
    <n v="7"/>
    <n v="4"/>
    <n v="5"/>
    <n v="1"/>
    <n v="6"/>
    <s v="Yes"/>
    <s v="Risk"/>
    <x v="0"/>
    <s v="Wealth Creation"/>
    <s v="1-3 years"/>
    <x v="0"/>
    <s v="20%-30%"/>
    <x v="0"/>
    <x v="0"/>
    <s v="Capital Appreciation"/>
    <s v="Better Returns"/>
    <s v="Assured Returns"/>
    <s v="Risk Free"/>
    <s v="Newspapers and Magazines"/>
  </r>
  <r>
    <n v="20"/>
    <x v="1"/>
    <n v="26"/>
    <x v="2"/>
    <x v="0"/>
    <n v="3"/>
    <n v="4"/>
    <n v="6"/>
    <n v="5"/>
    <n v="1"/>
    <n v="2"/>
    <n v="7"/>
    <s v="Yes"/>
    <s v="Risk"/>
    <x v="0"/>
    <s v="Wealth Creation"/>
    <s v="3-5 years"/>
    <x v="0"/>
    <s v="20%-30%"/>
    <x v="2"/>
    <x v="1"/>
    <s v="Capital Appreciation"/>
    <s v="Fund Diversification"/>
    <s v="Assured Returns"/>
    <s v="Risk Free"/>
    <s v="Newspapers and Magazines"/>
  </r>
  <r>
    <n v="21"/>
    <x v="1"/>
    <n v="29"/>
    <x v="2"/>
    <x v="0"/>
    <n v="2"/>
    <n v="4"/>
    <n v="7"/>
    <n v="5"/>
    <n v="3"/>
    <n v="1"/>
    <n v="6"/>
    <s v="Yes"/>
    <s v="Returns"/>
    <x v="2"/>
    <s v="Wealth Creation"/>
    <s v="3-5 years"/>
    <x v="1"/>
    <s v="20%-30%"/>
    <x v="0"/>
    <x v="0"/>
    <s v="Capital Appreciation"/>
    <s v="Better Returns"/>
    <s v="Assured Returns"/>
    <s v="Fixed Returns"/>
    <s v="Financial Consultants"/>
  </r>
  <r>
    <n v="22"/>
    <x v="0"/>
    <n v="24"/>
    <x v="1"/>
    <x v="0"/>
    <n v="2"/>
    <n v="4"/>
    <n v="5"/>
    <n v="6"/>
    <n v="3"/>
    <n v="1"/>
    <n v="7"/>
    <s v="Yes"/>
    <s v="Risk"/>
    <x v="0"/>
    <s v="Wealth Creation"/>
    <s v="3-5 years"/>
    <x v="0"/>
    <s v="20%-30%"/>
    <x v="1"/>
    <x v="1"/>
    <s v="Capital Appreciation"/>
    <s v="Better Returns"/>
    <s v="Assured Returns"/>
    <s v="Risk Free"/>
    <s v="Newspapers and Magazines"/>
  </r>
  <r>
    <n v="23"/>
    <x v="1"/>
    <n v="27"/>
    <x v="2"/>
    <x v="0"/>
    <n v="3"/>
    <n v="4"/>
    <n v="6"/>
    <n v="5"/>
    <n v="2"/>
    <n v="1"/>
    <n v="7"/>
    <s v="Yes"/>
    <s v="Returns"/>
    <x v="0"/>
    <s v="Wealth Creation"/>
    <s v="3-5 years"/>
    <x v="0"/>
    <s v="20%-30%"/>
    <x v="0"/>
    <x v="0"/>
    <s v="Capital Appreciation"/>
    <s v="Better Returns"/>
    <s v="Assured Returns"/>
    <s v="Risk Free"/>
    <s v="Financial Consultants"/>
  </r>
  <r>
    <n v="24"/>
    <x v="1"/>
    <n v="25"/>
    <x v="1"/>
    <x v="0"/>
    <n v="2"/>
    <n v="4"/>
    <n v="6"/>
    <n v="5"/>
    <n v="3"/>
    <n v="1"/>
    <n v="7"/>
    <s v="Yes"/>
    <s v="Risk"/>
    <x v="2"/>
    <s v="Savings for Future"/>
    <s v="3-5 years"/>
    <x v="1"/>
    <s v="20%-30%"/>
    <x v="3"/>
    <x v="1"/>
    <s v="Liquidity"/>
    <s v="Better Returns"/>
    <s v="Assured Returns"/>
    <s v="Risk Free"/>
    <s v="Financial Consultants"/>
  </r>
  <r>
    <n v="25"/>
    <x v="0"/>
    <n v="26"/>
    <x v="2"/>
    <x v="0"/>
    <n v="2"/>
    <n v="3"/>
    <n v="7"/>
    <n v="5"/>
    <n v="4"/>
    <n v="1"/>
    <n v="6"/>
    <s v="Yes"/>
    <s v="Returns"/>
    <x v="0"/>
    <s v="Wealth Creation"/>
    <s v="3-5 years"/>
    <x v="0"/>
    <s v="30%-40%"/>
    <x v="3"/>
    <x v="0"/>
    <s v="Capital Appreciation"/>
    <s v="Better Returns"/>
    <s v="Assured Returns"/>
    <s v="Risk Free"/>
    <s v="Newspapers and Magazines"/>
  </r>
  <r>
    <n v="26"/>
    <x v="0"/>
    <n v="32"/>
    <x v="0"/>
    <x v="0"/>
    <n v="3"/>
    <n v="4"/>
    <n v="7"/>
    <n v="5"/>
    <n v="1"/>
    <n v="2"/>
    <n v="6"/>
    <s v="Yes"/>
    <s v="Risk"/>
    <x v="2"/>
    <s v="Wealth Creation"/>
    <s v="3-5 years"/>
    <x v="0"/>
    <s v="20%-30%"/>
    <x v="0"/>
    <x v="0"/>
    <s v="Capital Appreciation"/>
    <s v="Better Returns"/>
    <s v="Assured Returns"/>
    <s v="Fixed Returns"/>
    <s v="Financial Consultants"/>
  </r>
  <r>
    <n v="27"/>
    <x v="1"/>
    <n v="26"/>
    <x v="2"/>
    <x v="0"/>
    <n v="3"/>
    <n v="4"/>
    <n v="6"/>
    <n v="5"/>
    <n v="1"/>
    <n v="2"/>
    <n v="7"/>
    <s v="Yes"/>
    <s v="Returns"/>
    <x v="0"/>
    <s v="Wealth Creation"/>
    <s v="3-5 years"/>
    <x v="0"/>
    <s v="20%-30%"/>
    <x v="0"/>
    <x v="0"/>
    <s v="Dividend"/>
    <s v="Fund Diversification"/>
    <s v="Assured Returns"/>
    <s v="Fixed Returns"/>
    <s v="Financial Consultants"/>
  </r>
  <r>
    <n v="28"/>
    <x v="1"/>
    <n v="31"/>
    <x v="0"/>
    <x v="0"/>
    <n v="2"/>
    <n v="3"/>
    <n v="7"/>
    <n v="6"/>
    <n v="4"/>
    <n v="1"/>
    <n v="5"/>
    <s v="Yes"/>
    <s v="Risk"/>
    <x v="2"/>
    <s v="Savings for Future"/>
    <s v="1-3 years"/>
    <x v="0"/>
    <s v="20%-30%"/>
    <x v="2"/>
    <x v="1"/>
    <s v="Capital Appreciation"/>
    <s v="Fund Diversification"/>
    <s v="Safe Investment"/>
    <s v="Fixed Returns"/>
    <s v="Television"/>
  </r>
  <r>
    <n v="29"/>
    <x v="1"/>
    <n v="29"/>
    <x v="2"/>
    <x v="0"/>
    <n v="2"/>
    <n v="3"/>
    <n v="6"/>
    <n v="5"/>
    <n v="1"/>
    <n v="4"/>
    <n v="7"/>
    <s v="Yes"/>
    <s v="Returns"/>
    <x v="0"/>
    <s v="Wealth Creation"/>
    <s v="1-3 years"/>
    <x v="0"/>
    <s v="20%-30%"/>
    <x v="1"/>
    <x v="0"/>
    <s v="Capital Appreciation"/>
    <s v="Better Returns"/>
    <s v="Assured Returns"/>
    <s v="Risk Free"/>
    <s v="Television"/>
  </r>
  <r>
    <n v="30"/>
    <x v="0"/>
    <n v="34"/>
    <x v="0"/>
    <x v="0"/>
    <n v="5"/>
    <n v="4"/>
    <n v="3"/>
    <n v="2"/>
    <n v="7"/>
    <n v="1"/>
    <n v="6"/>
    <s v="Yes"/>
    <s v="Returns"/>
    <x v="1"/>
    <s v="Returns"/>
    <s v="3-5 years"/>
    <x v="0"/>
    <s v="10%-20%"/>
    <x v="0"/>
    <x v="0"/>
    <s v="Capital Appreciation"/>
    <s v="Tax Benefits"/>
    <s v="Safe Investment"/>
    <s v="Fixed Returns"/>
    <s v="Newspapers and Magazines"/>
  </r>
  <r>
    <n v="31"/>
    <x v="1"/>
    <n v="27"/>
    <x v="2"/>
    <x v="0"/>
    <n v="4"/>
    <n v="5"/>
    <n v="1"/>
    <n v="2"/>
    <n v="7"/>
    <n v="3"/>
    <n v="6"/>
    <s v="No"/>
    <s v="Returns"/>
    <x v="2"/>
    <s v="Wealth Creation"/>
    <s v="1-3 years"/>
    <x v="0"/>
    <s v="10%-20%"/>
    <x v="0"/>
    <x v="2"/>
    <s v="Capital Appreciation"/>
    <s v="Tax Benefits"/>
    <s v="Safe Investment"/>
    <s v="Fixed Returns"/>
    <s v="Television"/>
  </r>
  <r>
    <n v="32"/>
    <x v="0"/>
    <n v="31"/>
    <x v="0"/>
    <x v="0"/>
    <n v="2"/>
    <n v="4"/>
    <n v="7"/>
    <n v="6"/>
    <n v="3"/>
    <n v="1"/>
    <n v="5"/>
    <s v="Yes"/>
    <s v="Returns"/>
    <x v="0"/>
    <s v="Wealth Creation"/>
    <s v="3-5 years"/>
    <x v="0"/>
    <s v="20%-30%"/>
    <x v="2"/>
    <x v="0"/>
    <s v="Capital Appreciation"/>
    <s v="Better Returns"/>
    <s v="Assured Returns"/>
    <s v="Fixed Returns"/>
    <s v="Financial Consultants"/>
  </r>
  <r>
    <n v="33"/>
    <x v="1"/>
    <n v="27"/>
    <x v="2"/>
    <x v="0"/>
    <n v="2"/>
    <n v="4"/>
    <n v="7"/>
    <n v="5"/>
    <n v="1"/>
    <n v="3"/>
    <n v="6"/>
    <s v="Yes"/>
    <s v="Returns"/>
    <x v="0"/>
    <s v="Wealth Creation"/>
    <s v="3-5 years"/>
    <x v="0"/>
    <s v="30%-40%"/>
    <x v="1"/>
    <x v="1"/>
    <s v="Capital Appreciation"/>
    <s v="Fund Diversification"/>
    <s v="Assured Returns"/>
    <s v="Fixed Returns"/>
    <s v="Newspapers and Magazines"/>
  </r>
  <r>
    <n v="34"/>
    <x v="1"/>
    <n v="26"/>
    <x v="2"/>
    <x v="0"/>
    <n v="2"/>
    <n v="3"/>
    <n v="6"/>
    <n v="4"/>
    <n v="1"/>
    <n v="5"/>
    <n v="7"/>
    <s v="Yes"/>
    <s v="Returns"/>
    <x v="0"/>
    <s v="Returns"/>
    <s v="1-3 years"/>
    <x v="0"/>
    <s v="20%-30%"/>
    <x v="2"/>
    <x v="2"/>
    <s v="Dividend"/>
    <s v="Better Returns"/>
    <s v="Safe Investment"/>
    <s v="Risk Free"/>
    <s v="Newspapers and Magazines"/>
  </r>
  <r>
    <n v="35"/>
    <x v="1"/>
    <n v="27"/>
    <x v="2"/>
    <x v="0"/>
    <n v="2"/>
    <n v="3"/>
    <n v="6"/>
    <n v="5"/>
    <n v="4"/>
    <n v="1"/>
    <n v="7"/>
    <s v="Yes"/>
    <s v="Returns"/>
    <x v="0"/>
    <s v="Wealth Creation"/>
    <s v="1-3 years"/>
    <x v="1"/>
    <s v="20%-30%"/>
    <x v="0"/>
    <x v="1"/>
    <s v="Capital Appreciation"/>
    <s v="Better Returns"/>
    <s v="Safe Investment"/>
    <s v="Fixed Returns"/>
    <s v="Financial Consultants"/>
  </r>
  <r>
    <n v="36"/>
    <x v="1"/>
    <n v="30"/>
    <x v="2"/>
    <x v="0"/>
    <n v="1"/>
    <n v="4"/>
    <n v="6"/>
    <n v="5"/>
    <n v="3"/>
    <n v="2"/>
    <n v="7"/>
    <s v="Yes"/>
    <s v="Risk"/>
    <x v="2"/>
    <s v="Wealth Creation"/>
    <s v="3-5 years"/>
    <x v="0"/>
    <s v="20%-30%"/>
    <x v="2"/>
    <x v="1"/>
    <s v="Capital Appreciation"/>
    <s v="Better Returns"/>
    <s v="Assured Returns"/>
    <s v="Fixed Returns"/>
    <s v="Financial Consultants"/>
  </r>
  <r>
    <n v="37"/>
    <x v="1"/>
    <n v="30"/>
    <x v="2"/>
    <x v="0"/>
    <n v="2"/>
    <n v="4"/>
    <n v="7"/>
    <n v="5"/>
    <n v="1"/>
    <n v="3"/>
    <n v="6"/>
    <s v="Yes"/>
    <s v="Returns"/>
    <x v="0"/>
    <s v="Wealth Creation"/>
    <s v="1-3 years"/>
    <x v="0"/>
    <s v="20%-30%"/>
    <x v="1"/>
    <x v="0"/>
    <s v="Capital Appreciation"/>
    <s v="Better Returns"/>
    <s v="Assured Returns"/>
    <s v="Risk Free"/>
    <s v="Newspapers and Magazines"/>
  </r>
  <r>
    <n v="38"/>
    <x v="1"/>
    <n v="25"/>
    <x v="1"/>
    <x v="0"/>
    <n v="5"/>
    <n v="4"/>
    <n v="7"/>
    <n v="6"/>
    <n v="1"/>
    <n v="2"/>
    <n v="3"/>
    <s v="Yes"/>
    <s v="Risk"/>
    <x v="2"/>
    <s v="Savings for Future"/>
    <s v="3-5 years"/>
    <x v="0"/>
    <s v="30%-40%"/>
    <x v="3"/>
    <x v="1"/>
    <s v="Capital Appreciation"/>
    <s v="Better Returns"/>
    <s v="Safe Investment"/>
    <s v="Fixed Returns"/>
    <s v="Financial Consultants"/>
  </r>
  <r>
    <n v="39"/>
    <x v="1"/>
    <n v="31"/>
    <x v="0"/>
    <x v="0"/>
    <n v="2"/>
    <n v="4"/>
    <n v="7"/>
    <n v="5"/>
    <n v="3"/>
    <n v="1"/>
    <n v="6"/>
    <s v="Yes"/>
    <s v="Risk"/>
    <x v="2"/>
    <s v="Wealth Creation"/>
    <s v="1-3 years"/>
    <x v="1"/>
    <s v="20%-30%"/>
    <x v="1"/>
    <x v="1"/>
    <s v="Dividend"/>
    <s v="Fund Diversification"/>
    <s v="Assured Returns"/>
    <s v="Fixed Returns"/>
    <s v="Newspapers and Magazines"/>
  </r>
  <r>
    <n v="40"/>
    <x v="1"/>
    <n v="29"/>
    <x v="2"/>
    <x v="0"/>
    <n v="4"/>
    <n v="3"/>
    <n v="5"/>
    <n v="7"/>
    <n v="2"/>
    <n v="1"/>
    <n v="6"/>
    <s v="Yes"/>
    <s v="Returns"/>
    <x v="0"/>
    <s v="Wealth Creation"/>
    <s v="3-5 years"/>
    <x v="0"/>
    <s v="20%-30%"/>
    <x v="2"/>
    <x v="0"/>
    <s v="Dividend"/>
    <s v="Better Returns"/>
    <s v="Safe Investment"/>
    <s v="Fixed Returns"/>
    <s v="Financial Consultant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x v="0"/>
    <n v="34"/>
    <x v="0"/>
    <x v="0"/>
    <x v="0"/>
    <s v="Yes"/>
    <n v="1"/>
    <n v="2"/>
    <n v="5"/>
    <n v="3"/>
    <n v="7"/>
    <n v="6"/>
    <n v="4"/>
    <s v="Yes"/>
    <s v="Returns"/>
    <x v="0"/>
    <s v="Wealth Creation"/>
    <x v="0"/>
    <x v="0"/>
    <s v="20%-30%"/>
    <x v="0"/>
    <s v="Retirement Plan"/>
    <x v="0"/>
    <x v="0"/>
    <s v="Safe Investment"/>
    <s v="Fixed Returns"/>
    <s v="Newspapers and Magazines"/>
  </r>
  <r>
    <n v="2"/>
    <x v="0"/>
    <n v="23"/>
    <x v="1"/>
    <x v="0"/>
    <x v="0"/>
    <s v="Yes"/>
    <n v="4"/>
    <n v="3"/>
    <n v="2"/>
    <n v="1"/>
    <n v="5"/>
    <n v="6"/>
    <n v="7"/>
    <s v="No"/>
    <s v="Locking Period"/>
    <x v="0"/>
    <s v="Wealth Creation"/>
    <x v="1"/>
    <x v="1"/>
    <s v="20%-30%"/>
    <x v="0"/>
    <s v="Health Care"/>
    <x v="1"/>
    <x v="0"/>
    <s v="Safe Investment"/>
    <s v="High Interest Rates"/>
    <s v="Financial Consultants"/>
  </r>
  <r>
    <n v="3"/>
    <x v="1"/>
    <n v="30"/>
    <x v="2"/>
    <x v="1"/>
    <x v="1"/>
    <s v="Yes"/>
    <n v="3"/>
    <n v="6"/>
    <n v="4"/>
    <n v="2"/>
    <n v="5"/>
    <n v="1"/>
    <n v="7"/>
    <s v="Yes"/>
    <s v="Returns"/>
    <x v="0"/>
    <s v="Wealth Creation"/>
    <x v="2"/>
    <x v="2"/>
    <s v="20%-30%"/>
    <x v="1"/>
    <s v="Retirement Plan"/>
    <x v="0"/>
    <x v="1"/>
    <s v="Assured Returns"/>
    <s v="Fixed Returns"/>
    <s v="Television"/>
  </r>
  <r>
    <n v="4"/>
    <x v="1"/>
    <n v="22"/>
    <x v="1"/>
    <x v="1"/>
    <x v="1"/>
    <s v="Yes"/>
    <n v="2"/>
    <n v="1"/>
    <n v="3"/>
    <n v="7"/>
    <n v="6"/>
    <n v="4"/>
    <n v="5"/>
    <s v="Yes"/>
    <s v="Returns"/>
    <x v="1"/>
    <s v="Wealth Creation"/>
    <x v="3"/>
    <x v="2"/>
    <s v="10%-20%"/>
    <x v="1"/>
    <s v="Retirement Plan"/>
    <x v="1"/>
    <x v="2"/>
    <s v="Tax Incentives"/>
    <s v="High Interest Rates"/>
    <s v="Internet"/>
  </r>
  <r>
    <n v="5"/>
    <x v="0"/>
    <n v="24"/>
    <x v="1"/>
    <x v="1"/>
    <x v="1"/>
    <s v="No"/>
    <n v="2"/>
    <n v="1"/>
    <n v="3"/>
    <n v="6"/>
    <n v="4"/>
    <n v="5"/>
    <n v="7"/>
    <s v="No"/>
    <s v="Returns"/>
    <x v="1"/>
    <s v="Wealth Creation"/>
    <x v="3"/>
    <x v="2"/>
    <s v="20%-30%"/>
    <x v="1"/>
    <s v="Retirement Plan"/>
    <x v="0"/>
    <x v="0"/>
    <s v="Safe Investment"/>
    <s v="Risk Free"/>
    <s v="Internet"/>
  </r>
  <r>
    <n v="6"/>
    <x v="0"/>
    <n v="24"/>
    <x v="1"/>
    <x v="0"/>
    <x v="0"/>
    <s v="No"/>
    <n v="7"/>
    <n v="5"/>
    <n v="4"/>
    <n v="6"/>
    <n v="3"/>
    <n v="1"/>
    <n v="2"/>
    <s v="No"/>
    <s v="Risk"/>
    <x v="0"/>
    <s v="Wealth Creation"/>
    <x v="0"/>
    <x v="2"/>
    <s v="30%-40%"/>
    <x v="0"/>
    <s v="Retirement Plan"/>
    <x v="2"/>
    <x v="2"/>
    <s v="Safe Investment"/>
    <s v="Risk Free"/>
    <s v="Internet"/>
  </r>
  <r>
    <n v="7"/>
    <x v="0"/>
    <n v="27"/>
    <x v="2"/>
    <x v="1"/>
    <x v="1"/>
    <s v="Yes"/>
    <n v="3"/>
    <n v="6"/>
    <n v="4"/>
    <n v="2"/>
    <n v="5"/>
    <n v="1"/>
    <n v="7"/>
    <s v="Yes"/>
    <s v="Returns"/>
    <x v="0"/>
    <s v="Wealth Creation"/>
    <x v="2"/>
    <x v="0"/>
    <s v="20%-30%"/>
    <x v="1"/>
    <s v="Retirement Plan"/>
    <x v="0"/>
    <x v="0"/>
    <s v="Assured Returns"/>
    <s v="High Interest Rates"/>
    <s v="Financial Consultants"/>
  </r>
  <r>
    <n v="8"/>
    <x v="1"/>
    <n v="21"/>
    <x v="1"/>
    <x v="0"/>
    <x v="0"/>
    <s v="Yes"/>
    <n v="2"/>
    <n v="3"/>
    <n v="7"/>
    <n v="4"/>
    <n v="6"/>
    <n v="1"/>
    <n v="5"/>
    <s v="Yes"/>
    <s v="Risk"/>
    <x v="0"/>
    <s v="Wealth Creation"/>
    <x v="2"/>
    <x v="0"/>
    <s v="20%-30%"/>
    <x v="0"/>
    <s v="Retirement Plan"/>
    <x v="0"/>
    <x v="0"/>
    <s v="Assured Returns"/>
    <s v="Risk Free"/>
    <s v="Newspapers and Magazines"/>
  </r>
  <r>
    <n v="9"/>
    <x v="1"/>
    <n v="35"/>
    <x v="0"/>
    <x v="1"/>
    <x v="1"/>
    <s v="Yes"/>
    <n v="2"/>
    <n v="4"/>
    <n v="7"/>
    <n v="5"/>
    <n v="3"/>
    <n v="1"/>
    <n v="6"/>
    <s v="Yes"/>
    <s v="Returns"/>
    <x v="2"/>
    <s v="Savings for Future"/>
    <x v="0"/>
    <x v="1"/>
    <s v="20%-30%"/>
    <x v="1"/>
    <s v="Retirement Plan"/>
    <x v="0"/>
    <x v="2"/>
    <s v="Safe Investment"/>
    <s v="Fixed Returns"/>
    <s v="Television"/>
  </r>
  <r>
    <n v="10"/>
    <x v="1"/>
    <n v="31"/>
    <x v="0"/>
    <x v="2"/>
    <x v="2"/>
    <s v="Yes"/>
    <n v="1"/>
    <n v="3"/>
    <n v="7"/>
    <n v="4"/>
    <n v="5"/>
    <n v="2"/>
    <n v="6"/>
    <s v="Yes"/>
    <s v="Returns"/>
    <x v="0"/>
    <s v="Wealth Creation"/>
    <x v="2"/>
    <x v="0"/>
    <s v="30%-40%"/>
    <x v="2"/>
    <s v="Retirement Plan"/>
    <x v="0"/>
    <x v="2"/>
    <s v="Assured Returns"/>
    <s v="Fixed Returns"/>
    <s v="Newspapers and Magazines"/>
  </r>
  <r>
    <n v="11"/>
    <x v="0"/>
    <n v="35"/>
    <x v="0"/>
    <x v="0"/>
    <x v="0"/>
    <s v="Yes"/>
    <n v="2"/>
    <n v="4"/>
    <n v="7"/>
    <n v="5"/>
    <n v="3"/>
    <n v="1"/>
    <n v="6"/>
    <s v="Yes"/>
    <s v="Risk"/>
    <x v="2"/>
    <s v="Savings for Future"/>
    <x v="2"/>
    <x v="0"/>
    <s v="20%-30%"/>
    <x v="0"/>
    <s v="Retirement Plan"/>
    <x v="0"/>
    <x v="0"/>
    <s v="Assured Returns"/>
    <s v="Risk Free"/>
    <s v="Financial Consultants"/>
  </r>
  <r>
    <n v="12"/>
    <x v="1"/>
    <n v="29"/>
    <x v="2"/>
    <x v="0"/>
    <x v="0"/>
    <s v="Yes"/>
    <n v="2"/>
    <n v="5"/>
    <n v="7"/>
    <n v="6"/>
    <n v="3"/>
    <n v="1"/>
    <n v="4"/>
    <s v="Yes"/>
    <s v="Risk"/>
    <x v="0"/>
    <s v="Wealth Creation"/>
    <x v="0"/>
    <x v="0"/>
    <s v="20%-30%"/>
    <x v="0"/>
    <s v="Retirement Plan"/>
    <x v="0"/>
    <x v="2"/>
    <s v="Assured Returns"/>
    <s v="Fixed Returns"/>
    <s v="Financial Consultants"/>
  </r>
  <r>
    <n v="13"/>
    <x v="0"/>
    <n v="21"/>
    <x v="1"/>
    <x v="0"/>
    <x v="0"/>
    <s v="No"/>
    <n v="1"/>
    <n v="2"/>
    <n v="3"/>
    <n v="4"/>
    <n v="5"/>
    <n v="6"/>
    <n v="7"/>
    <s v="No"/>
    <s v="Returns"/>
    <x v="0"/>
    <s v="Savings for Future"/>
    <x v="0"/>
    <x v="1"/>
    <s v="20%-30%"/>
    <x v="0"/>
    <s v="Education"/>
    <x v="1"/>
    <x v="0"/>
    <s v="Safe Investment"/>
    <s v="Risk Free"/>
    <s v="Internet"/>
  </r>
  <r>
    <n v="14"/>
    <x v="0"/>
    <n v="28"/>
    <x v="2"/>
    <x v="0"/>
    <x v="0"/>
    <s v="Yes"/>
    <n v="2"/>
    <n v="3"/>
    <n v="7"/>
    <n v="4"/>
    <n v="5"/>
    <n v="1"/>
    <n v="6"/>
    <s v="Yes"/>
    <s v="Returns"/>
    <x v="0"/>
    <s v="Wealth Creation"/>
    <x v="0"/>
    <x v="0"/>
    <s v="20%-30%"/>
    <x v="0"/>
    <s v="Retirement Plan"/>
    <x v="0"/>
    <x v="2"/>
    <s v="Assured Returns"/>
    <s v="Risk Free"/>
    <s v="Newspapers and Magazines"/>
  </r>
  <r>
    <n v="15"/>
    <x v="0"/>
    <n v="25"/>
    <x v="1"/>
    <x v="2"/>
    <x v="2"/>
    <s v="Yes"/>
    <n v="2"/>
    <n v="3"/>
    <n v="7"/>
    <n v="5"/>
    <n v="4"/>
    <n v="1"/>
    <n v="6"/>
    <s v="Yes"/>
    <s v="Returns"/>
    <x v="0"/>
    <s v="Wealth Creation"/>
    <x v="0"/>
    <x v="0"/>
    <s v="20%-30%"/>
    <x v="2"/>
    <s v="Health Care"/>
    <x v="1"/>
    <x v="0"/>
    <s v="Assured Returns"/>
    <s v="Risk Free"/>
    <s v="Financial Consultants"/>
  </r>
  <r>
    <n v="16"/>
    <x v="1"/>
    <n v="27"/>
    <x v="2"/>
    <x v="0"/>
    <x v="0"/>
    <s v="Yes"/>
    <n v="2"/>
    <n v="3"/>
    <n v="7"/>
    <n v="5"/>
    <n v="4"/>
    <n v="1"/>
    <n v="6"/>
    <s v="Yes"/>
    <s v="Returns"/>
    <x v="0"/>
    <s v="Wealth Creation"/>
    <x v="0"/>
    <x v="0"/>
    <s v="20%-30%"/>
    <x v="0"/>
    <s v="Health Care"/>
    <x v="0"/>
    <x v="2"/>
    <s v="Assured Returns"/>
    <s v="Risk Free"/>
    <s v="Newspapers and Magazines"/>
  </r>
  <r>
    <n v="17"/>
    <x v="0"/>
    <n v="28"/>
    <x v="2"/>
    <x v="2"/>
    <x v="2"/>
    <s v="Yes"/>
    <n v="3"/>
    <n v="2"/>
    <n v="7"/>
    <n v="5"/>
    <n v="4"/>
    <n v="1"/>
    <n v="6"/>
    <s v="Yes"/>
    <s v="Risk"/>
    <x v="2"/>
    <s v="Wealth Creation"/>
    <x v="0"/>
    <x v="0"/>
    <s v="20%-30%"/>
    <x v="2"/>
    <s v="Health Care"/>
    <x v="0"/>
    <x v="2"/>
    <s v="Assured Returns"/>
    <s v="Risk Free"/>
    <s v="Television"/>
  </r>
  <r>
    <n v="18"/>
    <x v="1"/>
    <n v="27"/>
    <x v="2"/>
    <x v="0"/>
    <x v="0"/>
    <s v="Yes"/>
    <n v="3"/>
    <n v="2"/>
    <n v="7"/>
    <n v="4"/>
    <n v="5"/>
    <n v="1"/>
    <n v="6"/>
    <s v="Yes"/>
    <s v="Returns"/>
    <x v="0"/>
    <s v="Wealth Creation"/>
    <x v="0"/>
    <x v="0"/>
    <s v="20%-30%"/>
    <x v="0"/>
    <s v="Retirement Plan"/>
    <x v="0"/>
    <x v="0"/>
    <s v="Assured Returns"/>
    <s v="Risk Free"/>
    <s v="Financial Consultants"/>
  </r>
  <r>
    <n v="19"/>
    <x v="1"/>
    <n v="29"/>
    <x v="2"/>
    <x v="0"/>
    <x v="0"/>
    <s v="Yes"/>
    <n v="3"/>
    <n v="2"/>
    <n v="7"/>
    <n v="4"/>
    <n v="5"/>
    <n v="1"/>
    <n v="6"/>
    <s v="Yes"/>
    <s v="Risk"/>
    <x v="0"/>
    <s v="Wealth Creation"/>
    <x v="0"/>
    <x v="0"/>
    <s v="20%-30%"/>
    <x v="0"/>
    <s v="Retirement Plan"/>
    <x v="0"/>
    <x v="0"/>
    <s v="Assured Returns"/>
    <s v="Risk Free"/>
    <s v="Newspapers and Magazines"/>
  </r>
  <r>
    <n v="20"/>
    <x v="1"/>
    <n v="26"/>
    <x v="2"/>
    <x v="2"/>
    <x v="2"/>
    <s v="Yes"/>
    <n v="3"/>
    <n v="4"/>
    <n v="6"/>
    <n v="5"/>
    <n v="1"/>
    <n v="2"/>
    <n v="7"/>
    <s v="Yes"/>
    <s v="Risk"/>
    <x v="0"/>
    <s v="Wealth Creation"/>
    <x v="2"/>
    <x v="0"/>
    <s v="20%-30%"/>
    <x v="2"/>
    <s v="Health Care"/>
    <x v="0"/>
    <x v="2"/>
    <s v="Assured Returns"/>
    <s v="Risk Free"/>
    <s v="Newspapers and Magazines"/>
  </r>
  <r>
    <n v="21"/>
    <x v="1"/>
    <n v="29"/>
    <x v="2"/>
    <x v="0"/>
    <x v="0"/>
    <s v="Yes"/>
    <n v="2"/>
    <n v="4"/>
    <n v="7"/>
    <n v="5"/>
    <n v="3"/>
    <n v="1"/>
    <n v="6"/>
    <s v="Yes"/>
    <s v="Returns"/>
    <x v="2"/>
    <s v="Wealth Creation"/>
    <x v="2"/>
    <x v="1"/>
    <s v="20%-30%"/>
    <x v="0"/>
    <s v="Retirement Plan"/>
    <x v="0"/>
    <x v="0"/>
    <s v="Assured Returns"/>
    <s v="Fixed Returns"/>
    <s v="Financial Consultants"/>
  </r>
  <r>
    <n v="22"/>
    <x v="0"/>
    <n v="24"/>
    <x v="1"/>
    <x v="1"/>
    <x v="1"/>
    <s v="Yes"/>
    <n v="2"/>
    <n v="4"/>
    <n v="5"/>
    <n v="6"/>
    <n v="3"/>
    <n v="1"/>
    <n v="7"/>
    <s v="Yes"/>
    <s v="Risk"/>
    <x v="0"/>
    <s v="Wealth Creation"/>
    <x v="2"/>
    <x v="0"/>
    <s v="20%-30%"/>
    <x v="1"/>
    <s v="Health Care"/>
    <x v="0"/>
    <x v="0"/>
    <s v="Assured Returns"/>
    <s v="Risk Free"/>
    <s v="Newspapers and Magazines"/>
  </r>
  <r>
    <n v="23"/>
    <x v="1"/>
    <n v="27"/>
    <x v="2"/>
    <x v="0"/>
    <x v="0"/>
    <s v="Yes"/>
    <n v="3"/>
    <n v="4"/>
    <n v="6"/>
    <n v="5"/>
    <n v="2"/>
    <n v="1"/>
    <n v="7"/>
    <s v="Yes"/>
    <s v="Returns"/>
    <x v="0"/>
    <s v="Wealth Creation"/>
    <x v="2"/>
    <x v="0"/>
    <s v="20%-30%"/>
    <x v="0"/>
    <s v="Retirement Plan"/>
    <x v="0"/>
    <x v="0"/>
    <s v="Assured Returns"/>
    <s v="Risk Free"/>
    <s v="Financial Consultants"/>
  </r>
  <r>
    <n v="24"/>
    <x v="1"/>
    <n v="25"/>
    <x v="1"/>
    <x v="2"/>
    <x v="2"/>
    <s v="Yes"/>
    <n v="2"/>
    <n v="4"/>
    <n v="6"/>
    <n v="5"/>
    <n v="3"/>
    <n v="1"/>
    <n v="7"/>
    <s v="Yes"/>
    <s v="Risk"/>
    <x v="2"/>
    <s v="Savings for Future"/>
    <x v="2"/>
    <x v="1"/>
    <s v="20%-30%"/>
    <x v="3"/>
    <s v="Health Care"/>
    <x v="2"/>
    <x v="0"/>
    <s v="Assured Returns"/>
    <s v="Risk Free"/>
    <s v="Financial Consultants"/>
  </r>
  <r>
    <n v="25"/>
    <x v="0"/>
    <n v="26"/>
    <x v="2"/>
    <x v="2"/>
    <x v="2"/>
    <s v="Yes"/>
    <n v="2"/>
    <n v="3"/>
    <n v="7"/>
    <n v="5"/>
    <n v="4"/>
    <n v="1"/>
    <n v="6"/>
    <s v="Yes"/>
    <s v="Returns"/>
    <x v="0"/>
    <s v="Wealth Creation"/>
    <x v="2"/>
    <x v="0"/>
    <s v="30%-40%"/>
    <x v="3"/>
    <s v="Retirement Plan"/>
    <x v="0"/>
    <x v="0"/>
    <s v="Assured Returns"/>
    <s v="Risk Free"/>
    <s v="Newspapers and Magazines"/>
  </r>
  <r>
    <n v="26"/>
    <x v="0"/>
    <n v="32"/>
    <x v="0"/>
    <x v="0"/>
    <x v="0"/>
    <s v="Yes"/>
    <n v="3"/>
    <n v="4"/>
    <n v="7"/>
    <n v="5"/>
    <n v="1"/>
    <n v="2"/>
    <n v="6"/>
    <s v="Yes"/>
    <s v="Risk"/>
    <x v="2"/>
    <s v="Wealth Creation"/>
    <x v="2"/>
    <x v="0"/>
    <s v="20%-30%"/>
    <x v="0"/>
    <s v="Retirement Plan"/>
    <x v="0"/>
    <x v="0"/>
    <s v="Assured Returns"/>
    <s v="Fixed Returns"/>
    <s v="Financial Consultants"/>
  </r>
  <r>
    <n v="27"/>
    <x v="1"/>
    <n v="26"/>
    <x v="2"/>
    <x v="0"/>
    <x v="0"/>
    <s v="Yes"/>
    <n v="3"/>
    <n v="4"/>
    <n v="6"/>
    <n v="5"/>
    <n v="1"/>
    <n v="2"/>
    <n v="7"/>
    <s v="Yes"/>
    <s v="Returns"/>
    <x v="0"/>
    <s v="Wealth Creation"/>
    <x v="2"/>
    <x v="0"/>
    <s v="20%-30%"/>
    <x v="0"/>
    <s v="Retirement Plan"/>
    <x v="1"/>
    <x v="2"/>
    <s v="Assured Returns"/>
    <s v="Fixed Returns"/>
    <s v="Financial Consultants"/>
  </r>
  <r>
    <n v="28"/>
    <x v="1"/>
    <n v="31"/>
    <x v="0"/>
    <x v="2"/>
    <x v="2"/>
    <s v="Yes"/>
    <n v="2"/>
    <n v="3"/>
    <n v="7"/>
    <n v="6"/>
    <n v="4"/>
    <n v="1"/>
    <n v="5"/>
    <s v="Yes"/>
    <s v="Risk"/>
    <x v="2"/>
    <s v="Savings for Future"/>
    <x v="0"/>
    <x v="0"/>
    <s v="20%-30%"/>
    <x v="2"/>
    <s v="Health Care"/>
    <x v="0"/>
    <x v="2"/>
    <s v="Safe Investment"/>
    <s v="Fixed Returns"/>
    <s v="Television"/>
  </r>
  <r>
    <n v="29"/>
    <x v="1"/>
    <n v="29"/>
    <x v="2"/>
    <x v="1"/>
    <x v="1"/>
    <s v="Yes"/>
    <n v="2"/>
    <n v="3"/>
    <n v="6"/>
    <n v="5"/>
    <n v="1"/>
    <n v="4"/>
    <n v="7"/>
    <s v="Yes"/>
    <s v="Returns"/>
    <x v="0"/>
    <s v="Wealth Creation"/>
    <x v="0"/>
    <x v="0"/>
    <s v="20%-30%"/>
    <x v="1"/>
    <s v="Retirement Plan"/>
    <x v="0"/>
    <x v="0"/>
    <s v="Assured Returns"/>
    <s v="Risk Free"/>
    <s v="Television"/>
  </r>
  <r>
    <n v="30"/>
    <x v="0"/>
    <n v="34"/>
    <x v="0"/>
    <x v="0"/>
    <x v="0"/>
    <s v="Yes"/>
    <n v="5"/>
    <n v="4"/>
    <n v="3"/>
    <n v="2"/>
    <n v="7"/>
    <n v="1"/>
    <n v="6"/>
    <s v="Yes"/>
    <s v="Returns"/>
    <x v="1"/>
    <s v="Returns"/>
    <x v="2"/>
    <x v="0"/>
    <s v="10%-20%"/>
    <x v="0"/>
    <s v="Retirement Plan"/>
    <x v="0"/>
    <x v="1"/>
    <s v="Safe Investment"/>
    <s v="Fixed Returns"/>
    <s v="Newspapers and Magazines"/>
  </r>
  <r>
    <n v="31"/>
    <x v="1"/>
    <n v="27"/>
    <x v="2"/>
    <x v="0"/>
    <x v="0"/>
    <s v="Yes"/>
    <n v="4"/>
    <n v="5"/>
    <n v="1"/>
    <n v="2"/>
    <n v="7"/>
    <n v="3"/>
    <n v="6"/>
    <s v="No"/>
    <s v="Returns"/>
    <x v="2"/>
    <s v="Wealth Creation"/>
    <x v="0"/>
    <x v="0"/>
    <s v="10%-20%"/>
    <x v="0"/>
    <s v="Education"/>
    <x v="0"/>
    <x v="1"/>
    <s v="Safe Investment"/>
    <s v="Fixed Returns"/>
    <s v="Television"/>
  </r>
  <r>
    <n v="32"/>
    <x v="0"/>
    <n v="31"/>
    <x v="0"/>
    <x v="2"/>
    <x v="2"/>
    <s v="Yes"/>
    <n v="2"/>
    <n v="4"/>
    <n v="7"/>
    <n v="6"/>
    <n v="3"/>
    <n v="1"/>
    <n v="5"/>
    <s v="Yes"/>
    <s v="Returns"/>
    <x v="0"/>
    <s v="Wealth Creation"/>
    <x v="2"/>
    <x v="0"/>
    <s v="20%-30%"/>
    <x v="2"/>
    <s v="Retirement Plan"/>
    <x v="0"/>
    <x v="0"/>
    <s v="Assured Returns"/>
    <s v="Fixed Returns"/>
    <s v="Financial Consultants"/>
  </r>
  <r>
    <n v="33"/>
    <x v="1"/>
    <n v="27"/>
    <x v="2"/>
    <x v="1"/>
    <x v="1"/>
    <s v="Yes"/>
    <n v="2"/>
    <n v="4"/>
    <n v="7"/>
    <n v="5"/>
    <n v="1"/>
    <n v="3"/>
    <n v="6"/>
    <s v="Yes"/>
    <s v="Returns"/>
    <x v="0"/>
    <s v="Wealth Creation"/>
    <x v="2"/>
    <x v="0"/>
    <s v="30%-40%"/>
    <x v="1"/>
    <s v="Health Care"/>
    <x v="0"/>
    <x v="2"/>
    <s v="Assured Returns"/>
    <s v="Fixed Returns"/>
    <s v="Newspapers and Magazines"/>
  </r>
  <r>
    <n v="34"/>
    <x v="1"/>
    <n v="26"/>
    <x v="2"/>
    <x v="2"/>
    <x v="2"/>
    <s v="Yes"/>
    <n v="2"/>
    <n v="3"/>
    <n v="6"/>
    <n v="4"/>
    <n v="1"/>
    <n v="5"/>
    <n v="7"/>
    <s v="Yes"/>
    <s v="Returns"/>
    <x v="0"/>
    <s v="Returns"/>
    <x v="0"/>
    <x v="0"/>
    <s v="20%-30%"/>
    <x v="2"/>
    <s v="Education"/>
    <x v="1"/>
    <x v="0"/>
    <s v="Safe Investment"/>
    <s v="Risk Free"/>
    <s v="Newspapers and Magazines"/>
  </r>
  <r>
    <n v="35"/>
    <x v="1"/>
    <n v="27"/>
    <x v="2"/>
    <x v="0"/>
    <x v="0"/>
    <s v="Yes"/>
    <n v="2"/>
    <n v="3"/>
    <n v="6"/>
    <n v="5"/>
    <n v="4"/>
    <n v="1"/>
    <n v="7"/>
    <s v="Yes"/>
    <s v="Returns"/>
    <x v="0"/>
    <s v="Wealth Creation"/>
    <x v="0"/>
    <x v="1"/>
    <s v="20%-30%"/>
    <x v="0"/>
    <s v="Health Care"/>
    <x v="0"/>
    <x v="0"/>
    <s v="Safe Investment"/>
    <s v="Fixed Returns"/>
    <s v="Financial Consultants"/>
  </r>
  <r>
    <n v="36"/>
    <x v="1"/>
    <n v="30"/>
    <x v="2"/>
    <x v="2"/>
    <x v="2"/>
    <s v="Yes"/>
    <n v="1"/>
    <n v="4"/>
    <n v="6"/>
    <n v="5"/>
    <n v="3"/>
    <n v="2"/>
    <n v="7"/>
    <s v="Yes"/>
    <s v="Risk"/>
    <x v="2"/>
    <s v="Wealth Creation"/>
    <x v="2"/>
    <x v="0"/>
    <s v="20%-30%"/>
    <x v="2"/>
    <s v="Health Care"/>
    <x v="0"/>
    <x v="0"/>
    <s v="Assured Returns"/>
    <s v="Fixed Returns"/>
    <s v="Financial Consultants"/>
  </r>
  <r>
    <n v="37"/>
    <x v="1"/>
    <n v="30"/>
    <x v="2"/>
    <x v="1"/>
    <x v="1"/>
    <s v="Yes"/>
    <n v="2"/>
    <n v="4"/>
    <n v="7"/>
    <n v="5"/>
    <n v="1"/>
    <n v="3"/>
    <n v="6"/>
    <s v="Yes"/>
    <s v="Returns"/>
    <x v="0"/>
    <s v="Wealth Creation"/>
    <x v="0"/>
    <x v="0"/>
    <s v="20%-30%"/>
    <x v="1"/>
    <s v="Retirement Plan"/>
    <x v="0"/>
    <x v="0"/>
    <s v="Assured Returns"/>
    <s v="Risk Free"/>
    <s v="Newspapers and Magazines"/>
  </r>
  <r>
    <n v="38"/>
    <x v="1"/>
    <n v="25"/>
    <x v="1"/>
    <x v="2"/>
    <x v="2"/>
    <s v="Yes"/>
    <n v="5"/>
    <n v="4"/>
    <n v="7"/>
    <n v="6"/>
    <n v="1"/>
    <n v="2"/>
    <n v="3"/>
    <s v="Yes"/>
    <s v="Risk"/>
    <x v="2"/>
    <s v="Savings for Future"/>
    <x v="2"/>
    <x v="0"/>
    <s v="30%-40%"/>
    <x v="3"/>
    <s v="Health Care"/>
    <x v="0"/>
    <x v="0"/>
    <s v="Safe Investment"/>
    <s v="Fixed Returns"/>
    <s v="Financial Consultants"/>
  </r>
  <r>
    <n v="39"/>
    <x v="1"/>
    <n v="31"/>
    <x v="0"/>
    <x v="1"/>
    <x v="1"/>
    <s v="Yes"/>
    <n v="2"/>
    <n v="4"/>
    <n v="7"/>
    <n v="5"/>
    <n v="3"/>
    <n v="1"/>
    <n v="6"/>
    <s v="Yes"/>
    <s v="Risk"/>
    <x v="2"/>
    <s v="Wealth Creation"/>
    <x v="0"/>
    <x v="1"/>
    <s v="20%-30%"/>
    <x v="1"/>
    <s v="Health Care"/>
    <x v="1"/>
    <x v="2"/>
    <s v="Assured Returns"/>
    <s v="Fixed Returns"/>
    <s v="Newspapers and Magazines"/>
  </r>
  <r>
    <n v="40"/>
    <x v="1"/>
    <n v="29"/>
    <x v="2"/>
    <x v="2"/>
    <x v="2"/>
    <s v="Yes"/>
    <n v="4"/>
    <n v="3"/>
    <n v="5"/>
    <n v="7"/>
    <n v="2"/>
    <n v="1"/>
    <n v="6"/>
    <s v="Yes"/>
    <s v="Returns"/>
    <x v="0"/>
    <s v="Wealth Creation"/>
    <x v="2"/>
    <x v="0"/>
    <s v="20%-30%"/>
    <x v="2"/>
    <s v="Retirement Plan"/>
    <x v="1"/>
    <x v="0"/>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D1D38F-AB68-4A48-AF5B-C4285091D3EE}" name="PivotTable2"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11:E16"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98A6D-3AFC-4315-B833-8A5792DD07EE}" name="PivotTable5"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C101:C104" firstHeaderRow="1" firstDataRow="1" firstDataCol="1"/>
  <pivotFields count="26">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259BF4-F9A2-4D6F-993F-F9435EF1B389}" name="PivotTable6"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G46:H47" firstHeaderRow="0" firstDataRow="1" firstDataCol="0"/>
  <pivotFields count="26">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2">
    <i>
      <x/>
    </i>
    <i i="1">
      <x v="1"/>
    </i>
  </colItems>
  <dataFields count="2">
    <dataField name="Sum of Equity_Market" fld="6" baseField="0" baseItem="0"/>
    <dataField name="Sum of Gold" fld="11" baseField="0" baseItem="0"/>
  </dataFields>
  <chartFormats count="10">
    <chartFormat chart="19" format="5"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1"/>
          </reference>
        </references>
      </pivotArea>
    </chartFormat>
    <chartFormat chart="20" format="13" series="1">
      <pivotArea type="data" outline="0" fieldPosition="0">
        <references count="1">
          <reference field="4294967294" count="1" selected="0">
            <x v="0"/>
          </reference>
        </references>
      </pivotArea>
    </chartFormat>
    <chartFormat chart="20" format="14" series="1">
      <pivotArea type="data" outline="0" fieldPosition="0">
        <references count="1">
          <reference field="4294967294" count="1" selected="0">
            <x v="1"/>
          </reference>
        </references>
      </pivotArea>
    </chartFormat>
    <chartFormat chart="21" format="15" series="1">
      <pivotArea type="data" outline="0" fieldPosition="0">
        <references count="1">
          <reference field="4294967294" count="1" selected="0">
            <x v="0"/>
          </reference>
        </references>
      </pivotArea>
    </chartFormat>
    <chartFormat chart="21" format="16" series="1">
      <pivotArea type="data" outline="0" fieldPosition="0">
        <references count="1">
          <reference field="4294967294" count="1" selected="0">
            <x v="1"/>
          </reference>
        </references>
      </pivotArea>
    </chartFormat>
    <chartFormat chart="22" format="17" series="1">
      <pivotArea type="data" outline="0" fieldPosition="0">
        <references count="1">
          <reference field="4294967294" count="1" selected="0">
            <x v="0"/>
          </reference>
        </references>
      </pivotArea>
    </chartFormat>
    <chartFormat chart="22" format="18" series="1">
      <pivotArea type="data" outline="0" fieldPosition="0">
        <references count="1">
          <reference field="4294967294" count="1" selected="0">
            <x v="1"/>
          </reference>
        </references>
      </pivotArea>
    </chartFormat>
    <chartFormat chart="23" format="19" series="1">
      <pivotArea type="data" outline="0" fieldPosition="0">
        <references count="1">
          <reference field="4294967294" count="1" selected="0">
            <x v="0"/>
          </reference>
        </references>
      </pivotArea>
    </chartFormat>
    <chartFormat chart="23" format="2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29F440-F628-4EBD-8BC1-24317CA31115}" name="PivotTable8"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87:H104" firstHeaderRow="1" firstDataRow="1" firstDataCol="0"/>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09CC4E-0380-4125-9A8E-D10185ADE3B5}" name="PivotTable4"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G19:H24" firstHeaderRow="1" firstDataRow="1" firstDataCol="1"/>
  <pivotFields count="26">
    <pivotField compact="0" outline="0" showAll="0"/>
    <pivotField dataField="1"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s>
  <rowFields count="1">
    <field x="19"/>
  </rowFields>
  <rowItems count="5">
    <i>
      <x/>
    </i>
    <i>
      <x v="1"/>
    </i>
    <i>
      <x v="2"/>
    </i>
    <i>
      <x v="3"/>
    </i>
    <i t="grand">
      <x/>
    </i>
  </rowItems>
  <colItems count="1">
    <i/>
  </colItems>
  <dataFields count="1">
    <dataField name="Count of gender" fld="1" subtotal="count" baseField="0" baseItem="0"/>
  </dataFields>
  <chartFormats count="2">
    <chartFormat chart="16" format="14"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72D17E-0125-4E8A-8F29-12ADD7E52F6C}" name="PivotTable7"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E76:E80"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7"/>
  </rowFields>
  <rowItems count="4">
    <i>
      <x/>
    </i>
    <i>
      <x v="1"/>
    </i>
    <i>
      <x v="2"/>
    </i>
    <i t="grand">
      <x/>
    </i>
  </rowItems>
  <colItems count="1">
    <i/>
  </colItems>
  <formats count="7">
    <format dxfId="62">
      <pivotArea type="all" dataOnly="0" outline="0" fieldPosition="0"/>
    </format>
    <format dxfId="63">
      <pivotArea field="17" type="button" dataOnly="0" labelOnly="1" outline="0" axis="axisRow" fieldPosition="0"/>
    </format>
    <format dxfId="64">
      <pivotArea dataOnly="0" labelOnly="1" outline="0" fieldPosition="0">
        <references count="1">
          <reference field="17" count="0"/>
        </references>
      </pivotArea>
    </format>
    <format dxfId="65">
      <pivotArea dataOnly="0" labelOnly="1" grandRow="1" outline="0" fieldPosition="0"/>
    </format>
    <format dxfId="66">
      <pivotArea dataOnly="0" labelOnly="1" outline="0" axis="axisValues" fieldPosition="0"/>
    </format>
    <format dxfId="67">
      <pivotArea outline="0" fieldPosition="0">
        <references count="1">
          <reference field="17" count="1" selected="0">
            <x v="0"/>
          </reference>
        </references>
      </pivotArea>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176CA-BE5B-4B57-A5B1-DCDE378304D7}" name="PivotTable1" cacheId="79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26">
    <pivotField dataField="1"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4">
    <i>
      <x/>
    </i>
    <i>
      <x v="1"/>
    </i>
    <i>
      <x v="2"/>
    </i>
    <i t="grand">
      <x/>
    </i>
  </rowItems>
  <colItems count="1">
    <i/>
  </colItems>
  <dataFields count="1">
    <dataField name="Sum of Coun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651829-5923-4ADF-B862-9532FFF70CAF}" name="PivotTable8"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14:D19" firstHeaderRow="1" firstDataRow="1" firstDataCol="1"/>
  <pivotFields count="28">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Items count="1">
    <i/>
  </colItems>
  <dataFields count="1">
    <dataField name="Count of InvestorCount" fld="0" subtotal="count" baseField="0" baseItem="0"/>
  </dataFields>
  <formats count="5">
    <format dxfId="57">
      <pivotArea type="all" dataOnly="0" outline="0" fieldPosition="0"/>
    </format>
    <format dxfId="58">
      <pivotArea outline="0" collapsedLevelsAreSubtotals="1" fieldPosition="0"/>
    </format>
    <format dxfId="59">
      <pivotArea field="1" type="button" dataOnly="0" labelOnly="1" outline="0"/>
    </format>
    <format dxfId="60">
      <pivotArea dataOnly="0" labelOnly="1" grandRow="1" outline="0"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B74AF5-02CA-44B4-84EC-DB10CA6767FB}" name="PivotTable7"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21:D26" firstHeaderRow="1" firstDataRow="1" firstDataCol="1"/>
  <pivotFields count="28">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Items count="1">
    <i/>
  </colItems>
  <dataFields count="1">
    <dataField name="Count of InvestorCount" fld="0" subtotal="count" baseField="0" baseItem="0"/>
  </dataFields>
  <formats count="5">
    <format dxfId="52">
      <pivotArea type="all" dataOnly="0" outline="0" fieldPosition="0"/>
    </format>
    <format dxfId="53">
      <pivotArea outline="0" collapsedLevelsAreSubtotals="1" fieldPosition="0"/>
    </format>
    <format dxfId="54">
      <pivotArea field="1" type="button" dataOnly="0" labelOnly="1" outline="0"/>
    </format>
    <format dxfId="55">
      <pivotArea dataOnly="0" labelOnly="1" grandRow="1" outline="0" fieldPosition="0"/>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0C5E5F-5890-47A9-BFCA-F997BF0F9C7C}" name="PivotTable6"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5:D8" firstHeaderRow="1" firstDataRow="1" firstDataCol="1"/>
  <pivotFields count="28">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InvestorCount" fld="0" subtotal="count" baseField="0" baseItem="0"/>
  </dataFields>
  <formats count="6">
    <format dxfId="46">
      <pivotArea type="all" dataOnly="0" outline="0" fieldPosition="0"/>
    </format>
    <format dxfId="47">
      <pivotArea outline="0" collapsedLevelsAreSubtotals="1" fieldPosition="0"/>
    </format>
    <format dxfId="48">
      <pivotArea field="1" type="button" dataOnly="0" labelOnly="1" outline="0" axis="axisRow" fieldPosition="0"/>
    </format>
    <format dxfId="49">
      <pivotArea dataOnly="0" labelOnly="1" outline="0" fieldPosition="0">
        <references count="1">
          <reference field="1" count="0"/>
        </references>
      </pivotArea>
    </format>
    <format dxfId="50">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230847-7030-4DEE-8FC7-5BE19CD753AB}" name="PivotTable4"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28:H32" firstHeaderRow="1" firstDataRow="2" firstDataCol="1"/>
  <pivotFields count="28">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Fields count="1">
    <field x="21"/>
  </colFields>
  <colItems count="5">
    <i>
      <x/>
    </i>
    <i>
      <x v="1"/>
    </i>
    <i>
      <x v="2"/>
    </i>
    <i>
      <x v="3"/>
    </i>
    <i t="grand">
      <x/>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26986B-F6BD-4EA0-B373-CBF0E06BB165}" name="PivotTable5"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C38:C42" firstHeaderRow="1" firstDataRow="1" firstDataCol="1"/>
  <pivotFields count="2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s>
  <rowFields count="1">
    <field x="20"/>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A2A4F3-4A0D-4F66-A122-C89810EF64A2}" name="PivotTable9"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D62:E66" firstHeaderRow="1" firstDataRow="1" firstDataCol="1"/>
  <pivotFields count="28">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4">
    <i>
      <x/>
    </i>
    <i>
      <x v="1"/>
    </i>
    <i>
      <x v="2"/>
    </i>
    <i t="grand">
      <x/>
    </i>
  </rowItems>
  <colItems count="1">
    <i/>
  </colItems>
  <dataFields count="1">
    <dataField name="Count of InvestorCount" fld="0" subtotal="count" showDataAs="percentOfTotal" baseField="0" baseItem="0" numFmtId="10"/>
  </dataFields>
  <formats count="2">
    <format dxfId="44">
      <pivotArea outline="0" fieldPosition="0">
        <references count="1">
          <reference field="19" count="0" selected="0"/>
        </references>
      </pivotArea>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AF8AE6-034A-4BC6-9A82-B3FB4C117818}" name="PivotTable3"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74:J88" firstHeaderRow="1" firstDataRow="1" firstDataCol="2"/>
  <pivotFields count="2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2"/>
        <item x="3"/>
        <item x="1"/>
        <item t="default"/>
      </items>
    </pivotField>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18"/>
    <field x="21"/>
  </rowFields>
  <rowItems count="14">
    <i>
      <x/>
      <x/>
    </i>
    <i r="1">
      <x v="1"/>
    </i>
    <i r="1">
      <x v="2"/>
    </i>
    <i t="default">
      <x/>
    </i>
    <i>
      <x v="1"/>
      <x/>
    </i>
    <i r="1">
      <x v="1"/>
    </i>
    <i r="1">
      <x v="2"/>
    </i>
    <i r="1">
      <x v="3"/>
    </i>
    <i t="default">
      <x v="1"/>
    </i>
    <i>
      <x v="2"/>
      <x/>
    </i>
    <i t="default">
      <x v="2"/>
    </i>
    <i>
      <x v="3"/>
      <x v="2"/>
    </i>
    <i t="default">
      <x v="3"/>
    </i>
    <i t="grand">
      <x/>
    </i>
  </rowItems>
  <colItems count="1">
    <i/>
  </colItems>
  <dataFields count="1">
    <dataField name="Sum of InvestorCount"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5229BD-C906-47F3-9BA6-444A507BD436}" name="PivotTable9"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7:J42" firstHeaderRow="1" firstDataRow="1" firstDataCol="2"/>
  <pivotFields count="26">
    <pivotField dataField="1"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3"/>
    <field x="19"/>
  </rowFields>
  <rowItems count="15">
    <i>
      <x/>
      <x/>
    </i>
    <i r="1">
      <x v="1"/>
    </i>
    <i r="1">
      <x v="2"/>
    </i>
    <i r="1">
      <x v="3"/>
    </i>
    <i t="default">
      <x/>
    </i>
    <i>
      <x v="1"/>
      <x/>
    </i>
    <i r="1">
      <x v="1"/>
    </i>
    <i r="1">
      <x v="2"/>
    </i>
    <i t="default">
      <x v="1"/>
    </i>
    <i>
      <x v="2"/>
      <x/>
    </i>
    <i r="1">
      <x v="1"/>
    </i>
    <i r="1">
      <x v="2"/>
    </i>
    <i r="1">
      <x v="3"/>
    </i>
    <i t="default">
      <x v="2"/>
    </i>
    <i t="grand">
      <x/>
    </i>
  </rowItems>
  <colItems count="1">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00807D-FF9F-4DA7-A27D-44B63C59B26B}" name="PivotTable1"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16:M20" firstHeaderRow="1" firstDataRow="2" firstDataCol="1"/>
  <pivotFields count="26">
    <pivotField dataField="1" compact="0" outline="0" showAll="0"/>
    <pivotField axis="axisRow" compact="0" outline="0" showAll="0">
      <items count="3">
        <item x="0"/>
        <item x="1"/>
        <item t="default"/>
      </items>
    </pivotField>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Fields count="1">
    <field x="19"/>
  </colFields>
  <colItems count="5">
    <i>
      <x/>
    </i>
    <i>
      <x v="1"/>
    </i>
    <i>
      <x v="2"/>
    </i>
    <i>
      <x v="3"/>
    </i>
    <i t="grand">
      <x/>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13841AD-77AE-45DD-BFFA-CA5379CA1230}" name="PivotTable2"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64:M69" firstHeaderRow="1" firstDataRow="2" firstDataCol="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4">
    <i>
      <x/>
    </i>
    <i>
      <x v="1"/>
    </i>
    <i>
      <x v="2"/>
    </i>
    <i t="grand">
      <x/>
    </i>
  </rowItems>
  <colFields count="1">
    <field x="19"/>
  </colFields>
  <colItems count="5">
    <i>
      <x/>
    </i>
    <i>
      <x v="1"/>
    </i>
    <i>
      <x v="2"/>
    </i>
    <i>
      <x v="3"/>
    </i>
    <i t="grand">
      <x/>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C6235E7-9117-4E82-BF6B-A31CD35F45E9}" name="PivotTable10" cacheId="79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45:I54" firstHeaderRow="1" firstDataRow="1" firstDataCol="2"/>
  <pivotFields count="26">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4"/>
    <field x="19"/>
  </rowFields>
  <rowItems count="9">
    <i>
      <x/>
      <x/>
    </i>
    <i r="1">
      <x v="2"/>
    </i>
    <i t="default">
      <x/>
    </i>
    <i>
      <x v="1"/>
      <x/>
    </i>
    <i r="1">
      <x v="1"/>
    </i>
    <i r="1">
      <x v="2"/>
    </i>
    <i r="1">
      <x v="3"/>
    </i>
    <i t="default">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9D258DA-476E-4168-BDB9-D984BBA75969}" name="PivotTable4"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93:J105" firstHeaderRow="1" firstDataRow="1" firstDataCol="2"/>
  <pivotFields count="28">
    <pivotField compact="0" outline="0" showAll="0"/>
    <pivotField compact="0" outline="0" showAll="0"/>
    <pivotField dataField="1"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19"/>
  </rowFields>
  <rowItems count="12">
    <i>
      <x/>
      <x/>
    </i>
    <i r="1">
      <x v="1"/>
    </i>
    <i r="1">
      <x v="2"/>
    </i>
    <i t="default">
      <x/>
    </i>
    <i>
      <x v="1"/>
      <x v="1"/>
    </i>
    <i r="1">
      <x v="2"/>
    </i>
    <i t="default">
      <x v="1"/>
    </i>
    <i>
      <x v="2"/>
      <x/>
    </i>
    <i r="1">
      <x v="1"/>
    </i>
    <i r="1">
      <x v="2"/>
    </i>
    <i t="default">
      <x v="2"/>
    </i>
    <i t="grand">
      <x/>
    </i>
  </rowItems>
  <colItems count="1">
    <i/>
  </colItems>
  <dataFields count="1">
    <dataField name="Count of ag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EA3BCEF-29EA-4247-9C9A-36BDA5A9F24B}" name="PivotTable5" cacheId="79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H108:L119" firstHeaderRow="1" firstDataRow="2" firstDataCol="2"/>
  <pivotFields count="2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h="1" x="2"/>
        <item x="0"/>
        <item h="1" x="3"/>
        <item t="default"/>
      </items>
    </pivotField>
    <pivotField compact="0" outline="0" showAll="0"/>
    <pivotField axis="axisRow" compact="0" outline="0" showAll="0">
      <items count="4">
        <item x="0"/>
        <item x="1"/>
        <item x="2"/>
        <item t="default"/>
      </items>
    </pivotField>
    <pivotField axis="axisRow" compact="0" outline="0" showAll="0">
      <items count="4">
        <item x="0"/>
        <item x="2"/>
        <item x="1"/>
        <item t="default"/>
      </items>
    </pivotField>
    <pivotField compact="0" outline="0" showAll="0"/>
    <pivotField compact="0" outline="0" showAll="0"/>
    <pivotField compact="0" outline="0" showAll="0"/>
  </pivotFields>
  <rowFields count="2">
    <field x="24"/>
    <field x="23"/>
  </rowFields>
  <rowItems count="10">
    <i>
      <x/>
      <x/>
    </i>
    <i r="1">
      <x v="1"/>
    </i>
    <i t="default">
      <x/>
    </i>
    <i>
      <x v="1"/>
      <x/>
    </i>
    <i r="1">
      <x v="1"/>
    </i>
    <i r="1">
      <x v="2"/>
    </i>
    <i t="default">
      <x v="1"/>
    </i>
    <i>
      <x v="2"/>
      <x/>
    </i>
    <i t="default">
      <x v="2"/>
    </i>
    <i t="grand">
      <x/>
    </i>
  </rowItems>
  <colFields count="1">
    <field x="21"/>
  </colFields>
  <colItems count="3">
    <i>
      <x/>
    </i>
    <i>
      <x v="2"/>
    </i>
    <i t="grand">
      <x/>
    </i>
  </colItems>
  <dataFields count="1">
    <dataField name="Count of InvestorCount" fld="0" subtotal="count" baseField="0" baseItem="0"/>
  </dataFields>
  <chartFormats count="2">
    <chartFormat chart="1" format="0" series="1">
      <pivotArea type="data" outline="0" fieldPosition="0">
        <references count="2">
          <reference field="4294967294" count="1" selected="0">
            <x v="0"/>
          </reference>
          <reference field="21" count="1" selected="0">
            <x v="0"/>
          </reference>
        </references>
      </pivotArea>
    </chartFormat>
    <chartFormat chart="1" format="1" series="1">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FD3E405-3D0D-49E2-8945-8E2908B5AB8B}" name="PivotTable7"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I127:N132" firstHeaderRow="1" firstDataRow="2" firstDataCol="1"/>
  <pivotFields count="28">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4">
    <i>
      <x/>
    </i>
    <i>
      <x v="1"/>
    </i>
    <i>
      <x v="2"/>
    </i>
    <i t="grand">
      <x/>
    </i>
  </rowItems>
  <colFields count="1">
    <field x="21"/>
  </colFields>
  <colItems count="5">
    <i>
      <x/>
    </i>
    <i>
      <x v="1"/>
    </i>
    <i>
      <x v="2"/>
    </i>
    <i>
      <x v="3"/>
    </i>
    <i t="grand">
      <x/>
    </i>
  </colItems>
  <dataFields count="1">
    <dataField name="Count of InvestorCount" fld="0" subtotal="count" baseField="0" baseItem="0"/>
  </dataFields>
  <chartFormats count="4">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FDA7952-4BE5-4A88-B710-7E57061CF009}" name="PivotTable4"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E53:F57" firstHeaderRow="1" firstDataRow="1" firstDataCol="1"/>
  <pivotFields count="28">
    <pivotField compact="0" outline="0" showAll="0"/>
    <pivotField compact="0" outline="0" showAll="0">
      <items count="3">
        <item x="0"/>
        <item x="1"/>
        <item t="default"/>
      </items>
    </pivotField>
    <pivotField dataField="1"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4">
    <i>
      <x/>
    </i>
    <i>
      <x v="1"/>
    </i>
    <i>
      <x v="2"/>
    </i>
    <i t="grand">
      <x/>
    </i>
  </rowItems>
  <colItems count="1">
    <i/>
  </colItems>
  <dataFields count="1">
    <dataField name="Count of ag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59BA0FA-6BFD-46A2-BADC-17482930DAA5}" name="PivotTable3"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53:C56" firstHeaderRow="1" firstDataRow="1" firstDataCol="1"/>
  <pivotFields count="28">
    <pivotField dataField="1" compact="0" outline="0" showAll="0"/>
    <pivotField axis="axisRow" compact="0" outline="0" showAll="0">
      <items count="3">
        <item x="0"/>
        <item x="1"/>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InvestorCount" fld="0" subtotal="count" baseField="0" baseItem="0"/>
  </dataFields>
  <chartFormats count="12">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92A7978-6A31-4DE5-B8D0-82758AADD5AB}" name="PivotTable6"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53:L57" firstHeaderRow="1" firstDataRow="2" firstDataCol="1"/>
  <pivotFields count="28">
    <pivotField dataField="1" compact="0" outline="0" showAll="0"/>
    <pivotField axis="axisRow" compact="0" outline="0" showAll="0">
      <items count="3">
        <item x="0"/>
        <item x="1"/>
        <item t="default"/>
      </items>
    </pivotField>
    <pivotField compact="0" outline="0" showAll="0"/>
    <pivotField axis="axisCol"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Fields count="1">
    <field x="3"/>
  </colFields>
  <colItems count="4">
    <i>
      <x/>
    </i>
    <i>
      <x v="1"/>
    </i>
    <i>
      <x v="2"/>
    </i>
    <i t="grand">
      <x/>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B99ADA6-B0DC-4399-B0AF-9E8EE3A5128E}" name="PivotTable1"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6:A47" firstHeaderRow="1" firstDataRow="1" firstDataCol="0"/>
  <pivotFields count="28">
    <pivotField dataField="1" compact="0" outline="0" showAll="0"/>
    <pivotField compact="0" outline="0" showAll="0">
      <items count="3">
        <item x="0"/>
        <item x="1"/>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8EEC480-3529-446B-B24B-02D95B848CBA}" name="PivotTable6"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J100:M106" firstHeaderRow="1" firstDataRow="2" firstDataCol="1"/>
  <pivotFields count="28">
    <pivotField dataField="1" compact="0" outline="0" showAll="0"/>
    <pivotField axis="axisCol" compact="0" outline="0" showAll="0">
      <items count="3">
        <item x="0"/>
        <item x="1"/>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Fields count="1">
    <field x="1"/>
  </colFields>
  <colItems count="3">
    <i>
      <x/>
    </i>
    <i>
      <x v="1"/>
    </i>
    <i t="grand">
      <x/>
    </i>
  </colItems>
  <dataFields count="1">
    <dataField name="Count of InvestorCount" fld="0" subtotal="count" baseField="0" baseItem="0"/>
  </dataFields>
  <chartFormats count="2">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B9C4682-3DC0-416F-846F-CEF7F745BB8B}" name="PivotTable5"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E117:I123" firstHeaderRow="1" firstDataRow="2" firstDataCol="1"/>
  <pivotFields count="28">
    <pivotField dataField="1" compact="0" outline="0" showAll="0"/>
    <pivotField compact="0" outline="0" showAll="0">
      <items count="3">
        <item x="0"/>
        <item x="1"/>
        <item t="default"/>
      </items>
    </pivotField>
    <pivotField compact="0" outline="0" showAll="0"/>
    <pivotField axis="axisCol"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Fields count="1">
    <field x="3"/>
  </colFields>
  <colItems count="4">
    <i>
      <x/>
    </i>
    <i>
      <x v="1"/>
    </i>
    <i>
      <x v="2"/>
    </i>
    <i t="grand">
      <x/>
    </i>
  </colItems>
  <dataFields count="1">
    <dataField name="Count of InvestorCount" fld="0" subtotal="count" baseField="0" baseItem="0"/>
  </dataFields>
  <chartFormats count="19">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2">
          <reference field="4294967294" count="1" selected="0">
            <x v="0"/>
          </reference>
          <reference field="3" count="1" selected="0">
            <x v="0"/>
          </reference>
        </references>
      </pivotArea>
    </chartFormat>
    <chartFormat chart="5" format="4" series="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2">
          <reference field="4294967294" count="1" selected="0">
            <x v="0"/>
          </reference>
          <reference field="3" count="1" selected="0">
            <x v="2"/>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2">
          <reference field="4294967294" count="1" selected="0">
            <x v="0"/>
          </reference>
          <reference field="3" count="1" selected="0">
            <x v="0"/>
          </reference>
        </references>
      </pivotArea>
    </chartFormat>
    <chartFormat chart="7" format="10" series="1">
      <pivotArea type="data" outline="0" fieldPosition="0">
        <references count="2">
          <reference field="4294967294" count="1" selected="0">
            <x v="0"/>
          </reference>
          <reference field="3" count="1" selected="0">
            <x v="1"/>
          </reference>
        </references>
      </pivotArea>
    </chartFormat>
    <chartFormat chart="7" format="11" series="1">
      <pivotArea type="data" outline="0" fieldPosition="0">
        <references count="2">
          <reference field="4294967294" count="1" selected="0">
            <x v="0"/>
          </reference>
          <reference field="3" count="1" selected="0">
            <x v="2"/>
          </reference>
        </references>
      </pivotArea>
    </chartFormat>
    <chartFormat chart="9" format="15" series="1">
      <pivotArea type="data" outline="0" fieldPosition="0">
        <references count="2">
          <reference field="4294967294" count="1" selected="0">
            <x v="0"/>
          </reference>
          <reference field="3" count="1" selected="0">
            <x v="0"/>
          </reference>
        </references>
      </pivotArea>
    </chartFormat>
    <chartFormat chart="9" format="16" series="1">
      <pivotArea type="data" outline="0" fieldPosition="0">
        <references count="2">
          <reference field="4294967294" count="1" selected="0">
            <x v="0"/>
          </reference>
          <reference field="3" count="1" selected="0">
            <x v="1"/>
          </reference>
        </references>
      </pivotArea>
    </chartFormat>
    <chartFormat chart="9" format="17" series="1">
      <pivotArea type="data" outline="0" fieldPosition="0">
        <references count="2">
          <reference field="4294967294" count="1" selected="0">
            <x v="0"/>
          </reference>
          <reference field="3" count="1" selected="0">
            <x v="2"/>
          </reference>
        </references>
      </pivotArea>
    </chartFormat>
    <chartFormat chart="10" format="18" series="1">
      <pivotArea type="data" outline="0" fieldPosition="0">
        <references count="2">
          <reference field="4294967294" count="1" selected="0">
            <x v="0"/>
          </reference>
          <reference field="3" count="1" selected="0">
            <x v="0"/>
          </reference>
        </references>
      </pivotArea>
    </chartFormat>
    <chartFormat chart="10" format="19" series="1">
      <pivotArea type="data" outline="0" fieldPosition="0">
        <references count="2">
          <reference field="4294967294" count="1" selected="0">
            <x v="0"/>
          </reference>
          <reference field="3" count="1" selected="0">
            <x v="1"/>
          </reference>
        </references>
      </pivotArea>
    </chartFormat>
    <chartFormat chart="10" format="20"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B9A92E3-6B42-40D0-A91F-D25958BF7B58}" name="PivotTable4"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K123:M132" firstHeaderRow="1" firstDataRow="1" firstDataCol="2"/>
  <pivotFields count="28">
    <pivotField dataField="1" compact="0" outline="0" showAll="0"/>
    <pivotField axis="axisRow" compact="0" outline="0" showAll="0">
      <items count="3">
        <item x="0"/>
        <item x="1"/>
        <item t="default"/>
      </items>
    </pivotField>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3"/>
  </rowFields>
  <rowItems count="9">
    <i>
      <x/>
      <x/>
    </i>
    <i r="1">
      <x v="1"/>
    </i>
    <i r="1">
      <x v="2"/>
    </i>
    <i t="default">
      <x/>
    </i>
    <i>
      <x v="1"/>
      <x/>
    </i>
    <i r="1">
      <x v="1"/>
    </i>
    <i r="1">
      <x v="2"/>
    </i>
    <i t="default">
      <x v="1"/>
    </i>
    <i t="grand">
      <x/>
    </i>
  </rowItems>
  <colItems count="1">
    <i/>
  </colItems>
  <dataFields count="1">
    <dataField name="Count of InvestorCount"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BD09E2C-2E44-443B-90F8-42215841EEE3}" name="PivotTable3"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F101:G104" firstHeaderRow="1" firstDataRow="1" firstDataCol="1"/>
  <pivotFields count="28">
    <pivotField dataField="1" compact="0" outline="0" showAll="0"/>
    <pivotField axis="axisRow" compact="0" outline="0" showAll="0">
      <items count="3">
        <item x="0"/>
        <item x="1"/>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InvestorCount"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96386B7-5E7C-4AC4-A6A4-54C835BC7557}" name="PivotTable2"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91:E96" firstHeaderRow="1" firstDataRow="1" firstDataCol="1"/>
  <pivotFields count="28">
    <pivotField dataField="1" compact="0" outline="0" showAll="0"/>
    <pivotField compact="0" outline="0" showAll="0">
      <items count="3">
        <item x="0"/>
        <item x="1"/>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1"/>
  </rowFields>
  <rowItems count="5">
    <i>
      <x/>
    </i>
    <i>
      <x v="1"/>
    </i>
    <i>
      <x v="2"/>
    </i>
    <i>
      <x v="3"/>
    </i>
    <i t="grand">
      <x/>
    </i>
  </rowItems>
  <colItems count="1">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C933727-E239-48EB-830E-9CBFC2E395C6}" name="PivotTable3"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H72:N84" firstHeaderRow="1" firstDataRow="2" firstDataCol="2"/>
  <pivotFields count="28">
    <pivotField dataField="1" compact="0" outline="0" showAll="0"/>
    <pivotField compact="0" outline="0" showAll="0"/>
    <pivotField compact="0" outline="0" showAll="0"/>
    <pivotField compact="0" outline="0" showAll="0"/>
    <pivotField compact="0" outline="0" showAll="0">
      <items count="4">
        <item x="1"/>
        <item x="2"/>
        <item x="0"/>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axis="axisRow" compact="0" outline="0" showAll="0">
      <items count="4">
        <item x="0"/>
        <item x="1"/>
        <item x="2"/>
        <item t="default"/>
      </items>
    </pivotField>
    <pivotField axis="axisRow" compact="0" outline="0" showAll="0">
      <items count="4">
        <item x="0"/>
        <item x="2"/>
        <item x="1"/>
        <item t="default"/>
      </items>
    </pivotField>
    <pivotField compact="0" outline="0" showAll="0"/>
    <pivotField compact="0" outline="0" showAll="0"/>
    <pivotField compact="0" outline="0" showAll="0"/>
  </pivotFields>
  <rowFields count="2">
    <field x="23"/>
    <field x="24"/>
  </rowFields>
  <rowItems count="11">
    <i>
      <x/>
      <x/>
    </i>
    <i r="1">
      <x v="1"/>
    </i>
    <i r="1">
      <x v="2"/>
    </i>
    <i t="default">
      <x/>
    </i>
    <i>
      <x v="1"/>
      <x/>
    </i>
    <i r="1">
      <x v="1"/>
    </i>
    <i t="default">
      <x v="1"/>
    </i>
    <i>
      <x v="2"/>
      <x/>
    </i>
    <i r="1">
      <x v="1"/>
    </i>
    <i t="default">
      <x v="2"/>
    </i>
    <i t="grand">
      <x/>
    </i>
  </rowItems>
  <colFields count="1">
    <field x="21"/>
  </colFields>
  <colItems count="5">
    <i>
      <x/>
    </i>
    <i>
      <x v="1"/>
    </i>
    <i>
      <x v="2"/>
    </i>
    <i>
      <x v="3"/>
    </i>
    <i t="grand">
      <x/>
    </i>
  </colItems>
  <dataFields count="1">
    <dataField name="Count of InvestorCoun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C7F8831-D39E-4B5F-A976-7B4B00DEDD74}" name="PivotTable7"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7:H11" firstHeaderRow="1" firstDataRow="1" firstDataCol="1"/>
  <pivotFields count="28">
    <pivotField dataField="1"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i>
    <i>
      <x v="1"/>
    </i>
    <i>
      <x v="2"/>
    </i>
    <i t="grand">
      <x/>
    </i>
  </rowItems>
  <colItems count="1">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C6D604E-2561-456A-92F8-8D2A8667A2A3}" name="PivotTable2"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57:H61" firstHeaderRow="1" firstDataRow="1" firstDataCol="1"/>
  <pivotFields count="28">
    <pivotField dataField="1" compact="0" outline="0" showAll="0"/>
    <pivotField compact="0" outline="0" showAll="0"/>
    <pivotField compact="0" outline="0" showAll="0"/>
    <pivotField compact="0" outline="0" showAll="0"/>
    <pivotField compact="0" outline="0" showAll="0">
      <items count="4">
        <item x="1"/>
        <item x="2"/>
        <item x="0"/>
        <item t="default"/>
      </items>
    </pivotField>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i>
    <i>
      <x v="1"/>
    </i>
    <i>
      <x v="2"/>
    </i>
    <i t="grand">
      <x/>
    </i>
  </rowItems>
  <colItems count="1">
    <i/>
  </colItems>
  <dataFields count="1">
    <dataField name="Count of InvestorCoun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D03F4490-F6FC-4301-A8DB-F5E4814C9C11}" name="PivotTable1" cacheId="79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23:J52" firstHeaderRow="1" firstDataRow="1" firstDataCol="3"/>
  <pivotFields count="28">
    <pivotField dataField="1" compact="0" outline="0"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axis="axisRow"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3">
    <field x="3"/>
    <field x="16"/>
    <field x="21"/>
  </rowFields>
  <rowItems count="29">
    <i>
      <x/>
      <x/>
      <x/>
    </i>
    <i r="2">
      <x v="1"/>
    </i>
    <i r="2">
      <x v="2"/>
    </i>
    <i r="2">
      <x v="3"/>
    </i>
    <i t="default" r="1">
      <x/>
    </i>
    <i r="1">
      <x v="1"/>
      <x v="1"/>
    </i>
    <i r="2">
      <x v="2"/>
    </i>
    <i t="default" r="1">
      <x v="1"/>
    </i>
    <i t="default">
      <x/>
    </i>
    <i>
      <x v="1"/>
      <x/>
      <x v="1"/>
    </i>
    <i r="2">
      <x v="2"/>
    </i>
    <i t="default" r="1">
      <x/>
    </i>
    <i r="1">
      <x v="1"/>
      <x/>
    </i>
    <i r="2">
      <x v="1"/>
    </i>
    <i r="2">
      <x v="2"/>
    </i>
    <i t="default" r="1">
      <x v="1"/>
    </i>
    <i r="1">
      <x v="2"/>
      <x v="2"/>
    </i>
    <i t="default" r="1">
      <x v="2"/>
    </i>
    <i t="default">
      <x v="1"/>
    </i>
    <i>
      <x v="2"/>
      <x/>
      <x/>
    </i>
    <i r="2">
      <x v="1"/>
    </i>
    <i r="2">
      <x v="2"/>
    </i>
    <i t="default" r="1">
      <x/>
    </i>
    <i r="1">
      <x v="1"/>
      <x v="3"/>
    </i>
    <i t="default" r="1">
      <x v="1"/>
    </i>
    <i r="1">
      <x v="2"/>
      <x/>
    </i>
    <i t="default" r="1">
      <x v="2"/>
    </i>
    <i t="default">
      <x v="2"/>
    </i>
    <i t="grand">
      <x/>
    </i>
  </rowItems>
  <colItems count="1">
    <i/>
  </colItems>
  <dataFields count="1">
    <dataField name="Count of Investor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85E2C58-0864-4919-B1F7-0060B70B288B}" sourceName="gender">
  <pivotTables>
    <pivotTable tabId="7" name="PivotTable4"/>
    <pivotTable tabId="7" name="PivotTable6"/>
  </pivotTables>
  <data>
    <tabular pivotCacheId="14954254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9002E3E-223D-4542-B29B-F7959492B5B8}" sourceName="age_group">
  <pivotTables>
    <pivotTable tabId="7" name="PivotTable4"/>
    <pivotTable tabId="7" name="PivotTable3"/>
    <pivotTable tabId="7" name="PivotTable6"/>
  </pivotTables>
  <data>
    <tabular pivotCacheId="149542542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9F2C7CD-AE89-4DD4-B87D-FFE4C4C207A9}" sourceName="gender">
  <pivotTables>
    <pivotTable tabId="8" name="PivotTable5"/>
    <pivotTable tabId="8" name="PivotTable6"/>
    <pivotTable tabId="8" name="PivotTable4"/>
    <pivotTable tabId="8" name="PivotTable3"/>
    <pivotTable tabId="8" name="PivotTable1"/>
    <pivotTable tabId="8" name="PivotTable2"/>
  </pivotTables>
  <data>
    <tabular pivotCacheId="149542542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465A174A-C472-490D-90D6-71C2BDB69C37}" sourceName="age_group">
  <pivotTables>
    <pivotTable tabId="8" name="PivotTable5"/>
    <pivotTable tabId="8" name="PivotTable6"/>
    <pivotTable tabId="8" name="PivotTable4"/>
    <pivotTable tabId="8" name="PivotTable3"/>
    <pivotTable tabId="8" name="PivotTable1"/>
    <pivotTable tabId="8" name="PivotTable2"/>
  </pivotTables>
  <data>
    <tabular pivotCacheId="14954254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A4E7B8-3A55-40EA-9FEA-6D16746A7527}" cache="Slicer_gender" caption="Gender" rowHeight="228600"/>
  <slicer name="age_group" xr10:uid="{41D50505-9742-4D88-8869-F98E61741B9A}" cache="Slicer_age_group" caption="Age_group"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2A9DB16-7D72-4300-8FF9-9F02A4468BB6}" cache="Slicer_gender1" caption="Gender" rowHeight="228600"/>
  <slicer name="age_group 1" xr10:uid="{9FFFEF67-4BD8-4FC1-B2C7-C36FD138EBFF}" cache="Slicer_age_group1" caption="AgeGroup"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05D31-AC78-4ADE-9AE7-9B7636C52B02}" name="Table1" displayName="Table1" ref="A1:AB41" totalsRowShown="0" headerRowDxfId="39" dataDxfId="38">
  <autoFilter ref="A1:AB41" xr:uid="{E8005D31-AC78-4ADE-9AE7-9B7636C52B02}"/>
  <tableColumns count="28">
    <tableColumn id="1" xr3:uid="{D69AD4A4-F81A-42C7-A761-258A5630BC99}" name="InvestorCount"/>
    <tableColumn id="2" xr3:uid="{92E2C4F5-E5A9-4A66-A1F6-7C95B64A456E}" name="gender" dataDxfId="37"/>
    <tableColumn id="3" xr3:uid="{01434BF9-18B4-4016-ADCD-8537E1F3EBEF}" name="age" dataDxfId="36"/>
    <tableColumn id="4" xr3:uid="{301B68EC-B841-4289-BD3E-D10B9730655E}" name="age_group" dataDxfId="35">
      <calculatedColumnFormula>IF(C2&lt;=25,"Young Adult",IF(C2&lt;=30,"Adults","Mature Adults"))</calculatedColumnFormula>
    </tableColumn>
    <tableColumn id="29" xr3:uid="{061C6DE3-6957-482C-947D-3A5EA1CAF43F}" name="Risk Category" dataDxfId="34">
      <calculatedColumnFormula>IF(Table1[[#This Row],[Avenue]]="Equity","High Risk",IF(Table1[[#This Row],[Avenue]]="Mutual Fund","Medium Risk","Low Risk"))</calculatedColumnFormula>
    </tableColumn>
    <tableColumn id="27" xr3:uid="{7C89408C-42E8-4470-B084-EC4616799994}" name="Investor's Persona" dataDxfId="33">
      <calculatedColumnFormula>IF(E2="High Risk","Aggressive Investor",IF(E2="Medium Risk","Balanced Investor","Conservative Investor"))</calculatedColumnFormula>
    </tableColumn>
    <tableColumn id="5" xr3:uid="{47CCE6B0-4523-4360-8CE7-D7DBB48E0609}" name="Investment_Avenues" dataDxfId="32"/>
    <tableColumn id="6" xr3:uid="{6CCCDC0F-E6F1-4D08-B8CE-DFF9E4D9F77D}" name="Mutual_Funds" dataDxfId="31"/>
    <tableColumn id="7" xr3:uid="{F61DA100-9A81-4200-938A-BE49271CD4B4}" name="Equity_Market" dataDxfId="30"/>
    <tableColumn id="8" xr3:uid="{011FEA6E-4238-4981-8496-0842D4C01265}" name="Debentures" dataDxfId="29"/>
    <tableColumn id="9" xr3:uid="{E3C6E1CE-0CC9-4468-85FB-B92B02AF8231}" name="Government_Bonds" dataDxfId="28"/>
    <tableColumn id="10" xr3:uid="{7316F0B6-5CE6-4E81-82A1-CBEE50956FE4}" name="Fixed_Deposits" dataDxfId="27"/>
    <tableColumn id="11" xr3:uid="{7DBC370C-187E-45D5-8998-6930A8D5777F}" name="PPF" dataDxfId="26"/>
    <tableColumn id="12" xr3:uid="{B5E02709-DBF2-467E-A551-3F409EDC6C6C}" name="Gold" dataDxfId="25"/>
    <tableColumn id="13" xr3:uid="{A69362ED-DCDB-41DC-8EC1-60A4D3C04133}" name="Stock_Marktet" dataDxfId="24"/>
    <tableColumn id="14" xr3:uid="{4DED652C-FE55-4CA3-B1F8-ECD55D4E8BDB}" name="Factor" dataDxfId="23"/>
    <tableColumn id="15" xr3:uid="{78423A44-C8F7-412C-BA0B-EA2B10455A0C}" name="Objective" dataDxfId="22"/>
    <tableColumn id="16" xr3:uid="{D762A259-2361-4FD8-B3F3-EBC03F765BF4}" name="Purpose" dataDxfId="21"/>
    <tableColumn id="17" xr3:uid="{B41B0C43-9EC8-4636-9C90-65D6F2D0EDCD}" name="Duration" dataDxfId="20"/>
    <tableColumn id="18" xr3:uid="{951411DB-923A-4EF2-83F1-3DEBE3DF5D3E}" name="Invest_Monitor" dataDxfId="19"/>
    <tableColumn id="19" xr3:uid="{3EF04F26-836C-48CF-B822-F3F45F1DF605}" name="Expect" dataDxfId="18"/>
    <tableColumn id="20" xr3:uid="{7C14D22C-1A4A-480D-BCC9-EE3E84463448}" name="Avenue" dataDxfId="17"/>
    <tableColumn id="21" xr3:uid="{528BB29A-FE34-4313-BD90-83D6845B6407}" name="What are your savings objectives?" dataDxfId="16"/>
    <tableColumn id="22" xr3:uid="{053D3995-E141-4248-ADB9-5AD041149757}" name="Reason_Equity" dataDxfId="15"/>
    <tableColumn id="23" xr3:uid="{0A826A60-46B1-48CE-8248-459A359511B7}" name="Reason_Mutual" dataDxfId="14"/>
    <tableColumn id="24" xr3:uid="{196EF491-30A1-4937-B76B-5D23DA4892AD}" name="Reason_Bonds" dataDxfId="13"/>
    <tableColumn id="25" xr3:uid="{A318DF84-2178-4C90-A6F5-884C21310E8E}" name="Reason_FD" dataDxfId="12"/>
    <tableColumn id="26" xr3:uid="{745222D3-4EFD-46F0-808C-145717CAD96A}" name="Sourc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713F3A-8EAC-4D46-B4CD-6AEEBCE955F4}" name="Table2" displayName="Table2" ref="H57:I60" totalsRowShown="0">
  <autoFilter ref="H57:I60" xr:uid="{DD713F3A-8EAC-4D46-B4CD-6AEEBCE955F4}"/>
  <tableColumns count="2">
    <tableColumn id="1" xr3:uid="{FCCB726A-321B-420B-8301-98D681B75E1D}" name="Low Risk"/>
    <tableColumn id="2" xr3:uid="{70893A47-6DFC-4D03-8537-1A4EFD3A7842}" name="Total" dataDxfId="1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D56910-A91B-4308-957E-0979C323DBFD}" name="Table3" displayName="Table3" ref="G13:I17" totalsRowShown="0" headerRowDxfId="9">
  <autoFilter ref="G13:I17" xr:uid="{5FD56910-A91B-4308-957E-0979C323DBFD}"/>
  <tableColumns count="3">
    <tableColumn id="1" xr3:uid="{6C65CE08-BFCB-428E-9AD6-5CB1F96CB7E7}" name="Investment Amount"/>
    <tableColumn id="2" xr3:uid="{DDE51BAE-A27E-4AAF-94B5-D12EF3E6834E}" name="Expected Return" dataDxfId="8"/>
    <tableColumn id="3" xr3:uid="{096BD1A3-822C-4EA6-AE90-68584A4871D0}" name="Final Value" dataDxfId="7">
      <calculatedColumnFormula>100000*(1+10%)</calculatedColumnFormula>
    </tableColumn>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F0251F-241C-4A32-9C85-BB1FBB7B4666}" name="Table4" displayName="Table4" ref="L23:N31" totalsRowShown="0" headerRowDxfId="6">
  <autoFilter ref="L23:N31" xr:uid="{13F0251F-241C-4A32-9C85-BB1FBB7B4666}"/>
  <tableColumns count="3">
    <tableColumn id="1" xr3:uid="{7A708B2A-2246-413F-A169-A73C724A759D}" name="Age Group"/>
    <tableColumn id="2" xr3:uid="{CB385D36-A6C1-473E-81D8-574BC9FBC3A0}" name="Objective"/>
    <tableColumn id="3" xr3:uid="{4E95E1E7-B6F9-441B-9705-CD99281C9D4B}" name="Predicted Investment Avenu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731CB6-94A9-4A6A-B522-A1FDE01DC2BE}" name="Table7" displayName="Table7" ref="H90:K93" totalsRowShown="0" headerRowDxfId="4">
  <autoFilter ref="H90:K93" xr:uid="{9D731CB6-94A9-4A6A-B522-A1FDE01DC2BE}"/>
  <tableColumns count="4">
    <tableColumn id="1" xr3:uid="{F6D9BF3B-803F-414B-B8F4-97731BD57CBE}" name="Scenario"/>
    <tableColumn id="2" xr3:uid="{29EF836E-FF53-41A4-A202-8016A448BBE4}" name="Investment Amount" dataDxfId="3"/>
    <tableColumn id="3" xr3:uid="{9B4E99DA-AF98-438B-BB9E-2234A314594E}" name="Return" dataDxfId="2"/>
    <tableColumn id="4" xr3:uid="{2A929599-641D-4CF1-885E-8043936B83C9}" name="Final Amount">
      <calculatedColumnFormula>I91*(1+J91)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E817A3-0978-43F1-8D36-0E2A9BC676A5}" name="Table5" displayName="Table5" ref="B2:E14" totalsRowShown="0" headerRowDxfId="1">
  <autoFilter ref="B2:E14" xr:uid="{4EE817A3-0978-43F1-8D36-0E2A9BC676A5}"/>
  <tableColumns count="4">
    <tableColumn id="1" xr3:uid="{876BBE78-021D-44EE-B5EA-E221DDC89244}" name="Age Group"/>
    <tableColumn id="2" xr3:uid="{5B4FE72F-3E88-43BB-9193-839B699710FC}" name="Risk Category"/>
    <tableColumn id="3" xr3:uid="{2CF44E16-207D-4203-8907-970A25D68FD1}" name="Objective"/>
    <tableColumn id="4" xr3:uid="{A6922819-AD8A-416F-87DF-43C1E9F2401E}" name="Recommend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70C7CB-1133-46FC-ACDD-A87034991B12}" name="Table6" displayName="Table6" ref="H2:I8" totalsRowShown="0" headerRowDxfId="0">
  <autoFilter ref="H2:I8" xr:uid="{2570C7CB-1133-46FC-ACDD-A87034991B12}"/>
  <tableColumns count="2">
    <tableColumn id="1" xr3:uid="{DFAEDCA4-47E5-4408-9801-B3A5C5079C20}" name="Field"/>
    <tableColumn id="2" xr3:uid="{EF7BE812-5413-4B6E-8498-008462EB91AA}" name="In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openxmlformats.org/officeDocument/2006/relationships/table" Target="../tables/table2.xml"/><Relationship Id="rId4" Type="http://schemas.openxmlformats.org/officeDocument/2006/relationships/pivotTable" Target="../pivotTables/pivotTable17.xml"/><Relationship Id="rId9"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microsoft.com/office/2007/relationships/slicer" Target="../slicers/slicer1.xml"/><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27.xml"/><Relationship Id="rId7" Type="http://schemas.openxmlformats.org/officeDocument/2006/relationships/drawing" Target="../drawings/drawing6.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9.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ivotTable" Target="../pivotTables/pivotTable33.xml"/><Relationship Id="rId7" Type="http://schemas.openxmlformats.org/officeDocument/2006/relationships/table" Target="../tables/table4.xml"/><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ivotTable" Target="../pivotTables/pivotTable34.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90" zoomScaleNormal="90" workbookViewId="0">
      <selection activeCell="L23" sqref="L23"/>
    </sheetView>
  </sheetViews>
  <sheetFormatPr defaultRowHeight="1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zoomScaleNormal="100" workbookViewId="0">
      <selection activeCell="B156" sqref="B156"/>
    </sheetView>
  </sheetViews>
  <sheetFormatPr defaultRowHeight="15"/>
  <cols>
    <col min="1" max="1" width="20.7109375" bestFit="1" customWidth="1"/>
    <col min="2" max="2" width="15.7109375" bestFit="1" customWidth="1"/>
    <col min="3" max="3" width="14.7109375" customWidth="1"/>
    <col min="4" max="4" width="38.28515625" bestFit="1" customWidth="1"/>
    <col min="5" max="5" width="12" bestFit="1" customWidth="1"/>
    <col min="6" max="6" width="15.7109375" customWidth="1"/>
  </cols>
  <sheetData>
    <row r="1" spans="1:6" ht="16.149999999999999" thickBot="1">
      <c r="A1" s="116" t="s">
        <v>0</v>
      </c>
      <c r="B1" s="117"/>
      <c r="C1" s="117"/>
      <c r="D1" s="117"/>
      <c r="E1" s="118"/>
    </row>
    <row r="2" spans="1:6" ht="14.45">
      <c r="A2" s="6" t="s">
        <v>1</v>
      </c>
      <c r="B2" s="7">
        <v>32000</v>
      </c>
      <c r="C2" s="1"/>
      <c r="D2" s="6" t="s">
        <v>1</v>
      </c>
      <c r="E2" s="7">
        <v>32000</v>
      </c>
    </row>
    <row r="3" spans="1:6" ht="14.45">
      <c r="A3" s="4" t="s">
        <v>2</v>
      </c>
      <c r="B3" s="2">
        <v>0.13</v>
      </c>
      <c r="C3" s="1"/>
      <c r="D3" s="4" t="s">
        <v>2</v>
      </c>
      <c r="E3" s="2">
        <v>0.13</v>
      </c>
    </row>
    <row r="4" spans="1:6" ht="14.45">
      <c r="A4" s="4" t="s">
        <v>3</v>
      </c>
      <c r="B4" s="2">
        <v>8</v>
      </c>
      <c r="C4" s="1"/>
      <c r="D4" s="4" t="s">
        <v>3</v>
      </c>
      <c r="E4" s="2">
        <v>8</v>
      </c>
    </row>
    <row r="5" spans="1:6" ht="14.45">
      <c r="A5" s="4" t="s">
        <v>4</v>
      </c>
      <c r="B5" s="2">
        <v>-6000</v>
      </c>
      <c r="C5" s="1"/>
      <c r="D5" s="4" t="s">
        <v>4</v>
      </c>
      <c r="E5" s="2">
        <v>-6000</v>
      </c>
    </row>
    <row r="6" spans="1:6" ht="14.45">
      <c r="A6" s="115" t="s">
        <v>5</v>
      </c>
      <c r="B6" s="115"/>
      <c r="D6" s="115" t="s">
        <v>5</v>
      </c>
      <c r="E6" s="115"/>
    </row>
    <row r="7" spans="1:6" ht="14.45">
      <c r="A7" s="4" t="s">
        <v>6</v>
      </c>
      <c r="B7" s="5">
        <f>PV(B3,B4,B5,0,0)</f>
        <v>28792.621766665405</v>
      </c>
      <c r="C7" s="1"/>
      <c r="D7" s="4" t="s">
        <v>6</v>
      </c>
      <c r="E7" s="5">
        <f>PV(B3,B4,B5,0,0)</f>
        <v>28792.621766665405</v>
      </c>
    </row>
    <row r="8" spans="1:6" thickBot="1"/>
    <row r="9" spans="1:6" ht="18.600000000000001" thickBot="1">
      <c r="A9" s="119" t="s">
        <v>7</v>
      </c>
      <c r="B9" s="120"/>
      <c r="C9" s="120"/>
      <c r="D9" s="120"/>
      <c r="E9" s="120"/>
      <c r="F9" s="121"/>
    </row>
    <row r="11" spans="1:6" ht="14.45">
      <c r="A11" s="2" t="s">
        <v>8</v>
      </c>
      <c r="B11" s="2">
        <v>0.12</v>
      </c>
      <c r="D11" s="2" t="s">
        <v>8</v>
      </c>
      <c r="E11" s="2">
        <v>0.16</v>
      </c>
    </row>
    <row r="12" spans="1:6" ht="14.45">
      <c r="A12" s="2" t="s">
        <v>9</v>
      </c>
      <c r="B12" s="2">
        <f>B11/12</f>
        <v>0.01</v>
      </c>
      <c r="D12" s="2" t="s">
        <v>9</v>
      </c>
      <c r="E12" s="2">
        <f>E11/12</f>
        <v>1.3333333333333334E-2</v>
      </c>
    </row>
    <row r="13" spans="1:6" ht="14.45">
      <c r="A13" s="2" t="s">
        <v>10</v>
      </c>
      <c r="B13" s="2">
        <v>25</v>
      </c>
      <c r="D13" s="2" t="s">
        <v>10</v>
      </c>
      <c r="E13" s="2">
        <v>8</v>
      </c>
    </row>
    <row r="14" spans="1:6" ht="14.45">
      <c r="A14" s="2" t="s">
        <v>11</v>
      </c>
      <c r="B14" s="2">
        <f>B13*12</f>
        <v>300</v>
      </c>
      <c r="D14" s="2" t="s">
        <v>12</v>
      </c>
      <c r="E14" s="2">
        <v>-100000</v>
      </c>
    </row>
    <row r="15" spans="1:6" ht="14.45">
      <c r="A15" s="2" t="s">
        <v>12</v>
      </c>
      <c r="B15" s="2">
        <v>-5000000</v>
      </c>
      <c r="D15" s="2" t="s">
        <v>13</v>
      </c>
      <c r="E15" s="2">
        <v>0</v>
      </c>
    </row>
    <row r="16" spans="1:6" ht="14.45">
      <c r="A16" s="2" t="s">
        <v>13</v>
      </c>
      <c r="B16" s="2">
        <v>0</v>
      </c>
      <c r="D16" s="2" t="s">
        <v>14</v>
      </c>
      <c r="E16" s="2">
        <v>0</v>
      </c>
    </row>
    <row r="17" spans="1:6" ht="14.45">
      <c r="A17" s="2" t="s">
        <v>14</v>
      </c>
      <c r="B17" s="2">
        <v>1</v>
      </c>
      <c r="D17" s="2" t="s">
        <v>7</v>
      </c>
      <c r="E17" s="8">
        <f>PMT(E12,B14,E14,E15,0)</f>
        <v>1358.8888861476614</v>
      </c>
    </row>
    <row r="18" spans="1:6" ht="14.45">
      <c r="A18" s="2" t="s">
        <v>7</v>
      </c>
      <c r="B18" s="8">
        <f>PMT(B12,B14,B15,B16,1)</f>
        <v>52139.809019684551</v>
      </c>
    </row>
    <row r="19" spans="1:6" thickBot="1"/>
    <row r="20" spans="1:6" thickBot="1">
      <c r="A20" s="2" t="s">
        <v>9</v>
      </c>
      <c r="B20" s="2">
        <v>1.2999999999999999E-2</v>
      </c>
      <c r="D20" s="23" t="s">
        <v>15</v>
      </c>
    </row>
    <row r="21" spans="1:6" ht="14.45">
      <c r="A21" s="2" t="s">
        <v>16</v>
      </c>
      <c r="B21" s="2">
        <v>8</v>
      </c>
      <c r="D21" s="20">
        <f>-IPMT(0.013,2,8,100000,0,0)</f>
        <v>1144.7505268721491</v>
      </c>
    </row>
    <row r="22" spans="1:6" thickBot="1">
      <c r="A22" s="2" t="s">
        <v>12</v>
      </c>
      <c r="B22" s="2">
        <v>100000</v>
      </c>
      <c r="D22" s="21">
        <f>-IPMT(0.013,3,8,100000,0,0)</f>
        <v>987.48281059363603</v>
      </c>
    </row>
    <row r="23" spans="1:6" thickBot="1">
      <c r="A23" s="2" t="s">
        <v>13</v>
      </c>
      <c r="B23" s="2">
        <v>0</v>
      </c>
      <c r="D23" s="22" t="s">
        <v>17</v>
      </c>
    </row>
    <row r="24" spans="1:6" ht="14.45">
      <c r="A24" s="2" t="s">
        <v>14</v>
      </c>
      <c r="B24" s="2">
        <v>0</v>
      </c>
      <c r="D24" s="20">
        <f>-PPMT(0.013,2,8,100000,0,0)</f>
        <v>12097.516636808687</v>
      </c>
    </row>
    <row r="25" spans="1:6" ht="14.45">
      <c r="A25" s="2" t="s">
        <v>7</v>
      </c>
      <c r="B25" s="9">
        <f>PMT(B20,B21,B22,B23,0)</f>
        <v>-13242.267163680835</v>
      </c>
      <c r="D25" s="3">
        <f>-PPMT(0.013,3,8,100000,0,0)</f>
        <v>12254.7843530872</v>
      </c>
    </row>
    <row r="26" spans="1:6" thickBot="1"/>
    <row r="27" spans="1:6" thickBot="1">
      <c r="A27" s="16" t="s">
        <v>18</v>
      </c>
      <c r="B27" s="17" t="s">
        <v>19</v>
      </c>
      <c r="C27" s="17" t="s">
        <v>7</v>
      </c>
      <c r="D27" s="17" t="s">
        <v>20</v>
      </c>
      <c r="E27" s="17" t="s">
        <v>21</v>
      </c>
      <c r="F27" s="18" t="s">
        <v>22</v>
      </c>
    </row>
    <row r="28" spans="1:6">
      <c r="A28" s="13">
        <v>1</v>
      </c>
      <c r="B28" s="14">
        <f>B22</f>
        <v>100000</v>
      </c>
      <c r="C28" s="14">
        <f>-$B$25</f>
        <v>13242.267163680835</v>
      </c>
      <c r="D28" s="14">
        <f>B28*0.013</f>
        <v>1300</v>
      </c>
      <c r="E28" s="14">
        <f>C28-D28</f>
        <v>11942.267163680835</v>
      </c>
      <c r="F28" s="15">
        <f>B28-E28</f>
        <v>88057.732836319163</v>
      </c>
    </row>
    <row r="29" spans="1:6">
      <c r="A29" s="10">
        <f>A28+1</f>
        <v>2</v>
      </c>
      <c r="B29" s="3">
        <f>F28</f>
        <v>88057.732836319163</v>
      </c>
      <c r="C29" s="3">
        <f t="shared" ref="C29:C35" si="0">-$B$25</f>
        <v>13242.267163680835</v>
      </c>
      <c r="D29" s="14">
        <f>B29*0.013</f>
        <v>1144.7505268721491</v>
      </c>
      <c r="E29" s="14">
        <f t="shared" ref="E29:E35" si="1">C29-D29</f>
        <v>12097.516636808687</v>
      </c>
      <c r="F29" s="15">
        <f t="shared" ref="F29:F35" si="2">B29-E29</f>
        <v>75960.216199510469</v>
      </c>
    </row>
    <row r="30" spans="1:6">
      <c r="A30" s="10">
        <f t="shared" ref="A30:A35" si="3">A29+1</f>
        <v>3</v>
      </c>
      <c r="B30" s="3">
        <f t="shared" ref="B30:B35" si="4">F29</f>
        <v>75960.216199510469</v>
      </c>
      <c r="C30" s="3">
        <f t="shared" si="0"/>
        <v>13242.267163680835</v>
      </c>
      <c r="D30" s="14">
        <f>B30*0.013</f>
        <v>987.48281059363603</v>
      </c>
      <c r="E30" s="14">
        <f t="shared" si="1"/>
        <v>12254.7843530872</v>
      </c>
      <c r="F30" s="15">
        <f t="shared" si="2"/>
        <v>63705.431846423271</v>
      </c>
    </row>
    <row r="31" spans="1:6">
      <c r="A31" s="10">
        <f t="shared" si="3"/>
        <v>4</v>
      </c>
      <c r="B31" s="3">
        <f t="shared" si="4"/>
        <v>63705.431846423271</v>
      </c>
      <c r="C31" s="3">
        <f t="shared" si="0"/>
        <v>13242.267163680835</v>
      </c>
      <c r="D31" s="14">
        <f t="shared" ref="D29:D35" si="5">B31*0.013</f>
        <v>828.17061400350246</v>
      </c>
      <c r="E31" s="14">
        <f t="shared" si="1"/>
        <v>12414.096549677333</v>
      </c>
      <c r="F31" s="15">
        <f t="shared" si="2"/>
        <v>51291.335296745936</v>
      </c>
    </row>
    <row r="32" spans="1:6">
      <c r="A32" s="10">
        <f t="shared" si="3"/>
        <v>5</v>
      </c>
      <c r="B32" s="3">
        <f t="shared" si="4"/>
        <v>51291.335296745936</v>
      </c>
      <c r="C32" s="3">
        <f t="shared" si="0"/>
        <v>13242.267163680835</v>
      </c>
      <c r="D32" s="14">
        <f t="shared" si="5"/>
        <v>666.78735885769709</v>
      </c>
      <c r="E32" s="14">
        <f t="shared" si="1"/>
        <v>12575.479804823139</v>
      </c>
      <c r="F32" s="15">
        <f t="shared" si="2"/>
        <v>38715.855491922797</v>
      </c>
    </row>
    <row r="33" spans="1:6">
      <c r="A33" s="10">
        <f t="shared" si="3"/>
        <v>6</v>
      </c>
      <c r="B33" s="3">
        <f t="shared" si="4"/>
        <v>38715.855491922797</v>
      </c>
      <c r="C33" s="3">
        <f t="shared" si="0"/>
        <v>13242.267163680835</v>
      </c>
      <c r="D33" s="14">
        <f t="shared" si="5"/>
        <v>503.30612139499635</v>
      </c>
      <c r="E33" s="14">
        <f t="shared" si="1"/>
        <v>12738.961042285839</v>
      </c>
      <c r="F33" s="15">
        <f t="shared" si="2"/>
        <v>25976.894449636959</v>
      </c>
    </row>
    <row r="34" spans="1:6">
      <c r="A34" s="10">
        <f t="shared" si="3"/>
        <v>7</v>
      </c>
      <c r="B34" s="3">
        <f t="shared" si="4"/>
        <v>25976.894449636959</v>
      </c>
      <c r="C34" s="3">
        <f t="shared" si="0"/>
        <v>13242.267163680835</v>
      </c>
      <c r="D34" s="14">
        <f t="shared" si="5"/>
        <v>337.69962784528047</v>
      </c>
      <c r="E34" s="14">
        <f t="shared" si="1"/>
        <v>12904.567535835555</v>
      </c>
      <c r="F34" s="15">
        <f t="shared" si="2"/>
        <v>13072.326913801404</v>
      </c>
    </row>
    <row r="35" spans="1:6">
      <c r="A35" s="11">
        <f t="shared" si="3"/>
        <v>8</v>
      </c>
      <c r="B35" s="12">
        <f t="shared" si="4"/>
        <v>13072.326913801404</v>
      </c>
      <c r="C35" s="12">
        <f t="shared" si="0"/>
        <v>13242.267163680835</v>
      </c>
      <c r="D35" s="14">
        <f t="shared" si="5"/>
        <v>169.94024987941825</v>
      </c>
      <c r="E35" s="14">
        <f t="shared" si="1"/>
        <v>13072.326913801417</v>
      </c>
      <c r="F35" s="15">
        <f t="shared" si="2"/>
        <v>0</v>
      </c>
    </row>
    <row r="37" spans="1:6" ht="14.45">
      <c r="A37" s="26" t="s">
        <v>23</v>
      </c>
      <c r="B37" s="27">
        <v>100000</v>
      </c>
    </row>
    <row r="38" spans="1:6" ht="14.45">
      <c r="A38" s="10" t="s">
        <v>24</v>
      </c>
      <c r="B38" s="28">
        <v>15</v>
      </c>
    </row>
    <row r="39" spans="1:6" ht="14.45">
      <c r="A39" s="10" t="s">
        <v>7</v>
      </c>
      <c r="B39" s="28">
        <v>-12000</v>
      </c>
    </row>
    <row r="40" spans="1:6" ht="15.75" thickBot="1">
      <c r="A40" s="11" t="s">
        <v>20</v>
      </c>
      <c r="B40" s="29">
        <f>RATE(B38,B39,B37,0,0)</f>
        <v>8.4417979849322686E-2</v>
      </c>
    </row>
    <row r="41" spans="1:6">
      <c r="A41" s="1"/>
      <c r="B41" s="32"/>
    </row>
    <row r="42" spans="1:6" ht="16.5" thickBot="1">
      <c r="A42" s="122" t="s">
        <v>25</v>
      </c>
      <c r="B42" s="122"/>
    </row>
    <row r="43" spans="1:6">
      <c r="A43" s="26" t="s">
        <v>23</v>
      </c>
      <c r="B43" s="27">
        <v>100000</v>
      </c>
    </row>
    <row r="44" spans="1:6">
      <c r="A44" s="10" t="s">
        <v>20</v>
      </c>
      <c r="B44" s="28">
        <v>0.1</v>
      </c>
    </row>
    <row r="45" spans="1:6">
      <c r="A45" s="10" t="s">
        <v>7</v>
      </c>
      <c r="B45" s="28">
        <v>-15000</v>
      </c>
    </row>
    <row r="46" spans="1:6" ht="15.75" thickBot="1">
      <c r="A46" s="11" t="s">
        <v>24</v>
      </c>
      <c r="B46" s="31">
        <f>NPER(B44,B45,B43,0,0)</f>
        <v>11.526704607247604</v>
      </c>
    </row>
    <row r="47" spans="1:6">
      <c r="A47" s="1"/>
      <c r="B47" s="52"/>
    </row>
    <row r="48" spans="1:6" ht="15.75">
      <c r="A48" s="114" t="s">
        <v>26</v>
      </c>
      <c r="B48" s="114"/>
      <c r="C48" s="114"/>
      <c r="D48" s="114"/>
      <c r="E48" s="114"/>
    </row>
    <row r="50" spans="1:5">
      <c r="A50" s="2" t="s">
        <v>2</v>
      </c>
      <c r="B50" s="59">
        <v>0.2</v>
      </c>
      <c r="C50" s="2"/>
    </row>
    <row r="51" spans="1:5">
      <c r="A51" s="2"/>
      <c r="B51" s="123" t="s">
        <v>27</v>
      </c>
      <c r="C51" s="124"/>
    </row>
    <row r="52" spans="1:5">
      <c r="A52" s="59" t="s">
        <v>28</v>
      </c>
      <c r="B52" s="59" t="s">
        <v>29</v>
      </c>
      <c r="C52" s="59" t="s">
        <v>30</v>
      </c>
    </row>
    <row r="53" spans="1:5">
      <c r="A53" s="2">
        <v>1</v>
      </c>
      <c r="B53" s="2">
        <v>-10000</v>
      </c>
      <c r="C53" s="2">
        <v>-5000</v>
      </c>
    </row>
    <row r="54" spans="1:5">
      <c r="A54" s="2">
        <v>2</v>
      </c>
      <c r="B54" s="2">
        <v>25000</v>
      </c>
      <c r="C54" s="2">
        <v>20000</v>
      </c>
    </row>
    <row r="55" spans="1:5">
      <c r="A55" s="2">
        <v>3</v>
      </c>
      <c r="B55" s="2">
        <v>-7000</v>
      </c>
      <c r="C55" s="2">
        <v>-8000</v>
      </c>
    </row>
    <row r="56" spans="1:5">
      <c r="A56" s="2" t="s">
        <v>31</v>
      </c>
      <c r="B56" s="19">
        <f>NPV(B50,B53,B54,B55)</f>
        <v>4976.851851851854</v>
      </c>
      <c r="C56" s="19">
        <f>NPV(B50,C53,C54,C55)</f>
        <v>5092.592592592594</v>
      </c>
    </row>
    <row r="58" spans="1:5">
      <c r="A58" s="2" t="s">
        <v>32</v>
      </c>
      <c r="B58" s="3">
        <f>NPV($B$50,B53:B55)</f>
        <v>4976.851851851854</v>
      </c>
      <c r="C58" s="3">
        <f>NPV($B$50,C53:C55)</f>
        <v>5092.592592592594</v>
      </c>
    </row>
    <row r="59" spans="1:5">
      <c r="A59" s="2" t="s">
        <v>33</v>
      </c>
      <c r="B59" s="19">
        <f>NPV($B$50,B53:B55)*(1+$B$50)</f>
        <v>5972.2222222222244</v>
      </c>
      <c r="C59" s="3">
        <f>NPV($B$50,C53:C55)*(1+$B$50)</f>
        <v>6111.1111111111122</v>
      </c>
    </row>
    <row r="60" spans="1:5">
      <c r="A60" s="2" t="s">
        <v>34</v>
      </c>
      <c r="B60" s="3">
        <f>NPV($B$50,B53:B55)*SQRT(1+$B$50)</f>
        <v>5451.8680492412386</v>
      </c>
      <c r="C60" s="3">
        <f>NPV($B$50,C53:C55)*SQRT(1+$B$50)</f>
        <v>5578.6556782933594</v>
      </c>
    </row>
    <row r="61" spans="1:5" ht="15.75" thickBot="1"/>
    <row r="62" spans="1:5">
      <c r="A62" s="53" t="s">
        <v>2</v>
      </c>
      <c r="B62" s="54">
        <v>0.2</v>
      </c>
      <c r="D62" s="53" t="s">
        <v>2</v>
      </c>
      <c r="E62" s="54">
        <v>0.2</v>
      </c>
    </row>
    <row r="63" spans="1:5" ht="15.75" thickBot="1">
      <c r="A63" s="57" t="s">
        <v>35</v>
      </c>
      <c r="B63" s="58" t="s">
        <v>27</v>
      </c>
      <c r="D63" s="55" t="s">
        <v>35</v>
      </c>
      <c r="E63" s="56" t="s">
        <v>27</v>
      </c>
    </row>
    <row r="64" spans="1:5">
      <c r="A64" s="35">
        <v>42536</v>
      </c>
      <c r="B64" s="28">
        <v>5000</v>
      </c>
      <c r="D64" s="41">
        <v>42078</v>
      </c>
      <c r="E64" s="42">
        <v>0</v>
      </c>
    </row>
    <row r="65" spans="1:5">
      <c r="A65" s="35">
        <v>42657</v>
      </c>
      <c r="B65" s="28">
        <v>5143</v>
      </c>
      <c r="D65" s="35">
        <v>42536</v>
      </c>
      <c r="E65" s="28">
        <v>5000</v>
      </c>
    </row>
    <row r="66" spans="1:5">
      <c r="A66" s="35">
        <v>42855</v>
      </c>
      <c r="B66" s="28">
        <v>8838</v>
      </c>
      <c r="D66" s="35">
        <v>42657</v>
      </c>
      <c r="E66" s="28">
        <v>5143</v>
      </c>
    </row>
    <row r="67" spans="1:5">
      <c r="A67" s="35">
        <v>42684</v>
      </c>
      <c r="B67" s="28">
        <v>-4893</v>
      </c>
      <c r="D67" s="35">
        <v>42855</v>
      </c>
      <c r="E67" s="28">
        <v>8838</v>
      </c>
    </row>
    <row r="68" spans="1:5">
      <c r="A68" s="35">
        <v>42629</v>
      </c>
      <c r="B68" s="28">
        <v>-2134</v>
      </c>
      <c r="D68" s="35">
        <v>42684</v>
      </c>
      <c r="E68" s="28">
        <v>-4893</v>
      </c>
    </row>
    <row r="69" spans="1:5">
      <c r="A69" s="35">
        <v>42843</v>
      </c>
      <c r="B69" s="28">
        <v>8047</v>
      </c>
      <c r="D69" s="35">
        <v>42629</v>
      </c>
      <c r="E69" s="28">
        <v>-2134</v>
      </c>
    </row>
    <row r="70" spans="1:5">
      <c r="A70" s="35">
        <v>42609</v>
      </c>
      <c r="B70" s="28">
        <v>3908</v>
      </c>
      <c r="D70" s="35">
        <v>42843</v>
      </c>
      <c r="E70" s="28">
        <v>8047</v>
      </c>
    </row>
    <row r="71" spans="1:5" ht="15.75" thickBot="1">
      <c r="A71" s="36">
        <v>42568</v>
      </c>
      <c r="B71" s="37">
        <v>-4007</v>
      </c>
      <c r="D71" s="38">
        <v>42609</v>
      </c>
      <c r="E71" s="39">
        <v>3908</v>
      </c>
    </row>
    <row r="72" spans="1:5" ht="15.75" thickBot="1">
      <c r="D72" s="36">
        <v>42568</v>
      </c>
      <c r="E72" s="37">
        <v>-4007</v>
      </c>
    </row>
    <row r="73" spans="1:5" ht="15.75" thickBot="1">
      <c r="A73" s="33" t="s">
        <v>36</v>
      </c>
      <c r="B73" s="34">
        <f>XNPV(0.2,B64:B71,A64:A71)</f>
        <v>17523.654500894841</v>
      </c>
      <c r="D73" s="24" t="s">
        <v>36</v>
      </c>
      <c r="E73" s="40">
        <f>XNPV(E62,E64:E72,D64:D72)</f>
        <v>13940.183426721771</v>
      </c>
    </row>
    <row r="74" spans="1:5" ht="15.75" thickBot="1"/>
    <row r="75" spans="1:5" ht="15.75" thickBot="1">
      <c r="A75" s="60" t="s">
        <v>27</v>
      </c>
      <c r="B75" s="61" t="s">
        <v>2</v>
      </c>
      <c r="C75" s="62" t="s">
        <v>36</v>
      </c>
    </row>
    <row r="76" spans="1:5">
      <c r="A76" s="49">
        <v>10000</v>
      </c>
      <c r="B76" s="50">
        <v>0.08</v>
      </c>
      <c r="C76" s="51">
        <f>NPV(B76,A76)</f>
        <v>9259.2592592592591</v>
      </c>
    </row>
    <row r="77" spans="1:5">
      <c r="A77" s="45">
        <v>-5000</v>
      </c>
      <c r="B77" s="47">
        <v>8.5000000000000006E-2</v>
      </c>
      <c r="C77" s="51">
        <f t="shared" ref="C77:C84" si="6">NPV(B77,A77)</f>
        <v>-4608.294930875576</v>
      </c>
    </row>
    <row r="78" spans="1:5">
      <c r="A78" s="45">
        <v>-8500</v>
      </c>
      <c r="B78" s="47">
        <v>0.09</v>
      </c>
      <c r="C78" s="51">
        <f t="shared" si="6"/>
        <v>-7798.1651376146783</v>
      </c>
    </row>
    <row r="79" spans="1:5">
      <c r="A79" s="46">
        <v>2000</v>
      </c>
      <c r="B79" s="47">
        <v>9.5000000000000001E-2</v>
      </c>
      <c r="C79" s="51">
        <f t="shared" si="6"/>
        <v>1826.4840182648402</v>
      </c>
    </row>
    <row r="80" spans="1:5">
      <c r="A80" s="1"/>
      <c r="B80" s="47">
        <v>0.1</v>
      </c>
      <c r="C80" s="51">
        <f t="shared" si="6"/>
        <v>0</v>
      </c>
    </row>
    <row r="81" spans="1:6">
      <c r="A81" s="1"/>
      <c r="B81" s="47">
        <v>0.1053</v>
      </c>
      <c r="C81" s="51">
        <f t="shared" si="6"/>
        <v>0</v>
      </c>
    </row>
    <row r="82" spans="1:6">
      <c r="A82" s="1"/>
      <c r="B82" s="47">
        <v>0.11</v>
      </c>
      <c r="C82" s="51">
        <f t="shared" si="6"/>
        <v>0</v>
      </c>
    </row>
    <row r="83" spans="1:6">
      <c r="A83" s="1"/>
      <c r="B83" s="47">
        <v>0.115</v>
      </c>
      <c r="C83" s="51">
        <f t="shared" si="6"/>
        <v>0</v>
      </c>
    </row>
    <row r="84" spans="1:6">
      <c r="A84" s="1"/>
      <c r="B84" s="48">
        <v>0.12</v>
      </c>
      <c r="C84" s="51">
        <f t="shared" si="6"/>
        <v>0</v>
      </c>
    </row>
    <row r="85" spans="1:6">
      <c r="B85" s="43"/>
    </row>
    <row r="86" spans="1:6" ht="15.75">
      <c r="A86" s="114" t="s">
        <v>37</v>
      </c>
      <c r="B86" s="114"/>
      <c r="C86" s="114"/>
      <c r="D86" s="114"/>
      <c r="E86" s="114"/>
      <c r="F86" s="114"/>
    </row>
    <row r="87" spans="1:6" ht="15.75" thickBot="1"/>
    <row r="88" spans="1:6" ht="15.75" thickBot="1">
      <c r="A88" s="59" t="s">
        <v>38</v>
      </c>
      <c r="C88" s="79" t="s">
        <v>38</v>
      </c>
      <c r="D88" s="61" t="s">
        <v>39</v>
      </c>
      <c r="E88" s="80" t="s">
        <v>37</v>
      </c>
    </row>
    <row r="89" spans="1:6">
      <c r="A89" s="2">
        <v>10000</v>
      </c>
      <c r="C89" s="65">
        <v>10000</v>
      </c>
      <c r="D89" s="76">
        <f>IRR(A89:A92)</f>
        <v>0.1053100591867342</v>
      </c>
      <c r="E89" s="66">
        <f>IRR(C89:C92,D89)</f>
        <v>0.10531005918673575</v>
      </c>
    </row>
    <row r="90" spans="1:6">
      <c r="A90" s="2">
        <v>-5000</v>
      </c>
      <c r="C90" s="64">
        <v>-5000</v>
      </c>
      <c r="D90" s="10">
        <v>0.05</v>
      </c>
      <c r="E90" s="66">
        <f>IRR(C89:C92,D90)</f>
        <v>0.10531005918673531</v>
      </c>
    </row>
    <row r="91" spans="1:6">
      <c r="A91" s="2">
        <v>-8500</v>
      </c>
      <c r="C91" s="64">
        <v>-8500</v>
      </c>
      <c r="D91" s="10">
        <v>0.15</v>
      </c>
      <c r="E91" s="66">
        <f>IRR(C89:C92,D91)</f>
        <v>0.10531005918673553</v>
      </c>
    </row>
    <row r="92" spans="1:6">
      <c r="A92" s="2">
        <v>2000</v>
      </c>
      <c r="C92" s="64">
        <v>2000</v>
      </c>
      <c r="D92" s="10">
        <v>0.2</v>
      </c>
      <c r="E92" s="66">
        <f>IRR(C89:C92,D92)</f>
        <v>0.10531005918672065</v>
      </c>
    </row>
    <row r="93" spans="1:6">
      <c r="D93" s="10">
        <v>0.25</v>
      </c>
      <c r="E93" s="66">
        <f>IRR(C89:C92,D93)</f>
        <v>0.10531005918632652</v>
      </c>
    </row>
    <row r="94" spans="1:6">
      <c r="A94" s="81" t="s">
        <v>37</v>
      </c>
      <c r="D94" s="10">
        <v>0.3</v>
      </c>
      <c r="E94" s="66">
        <f>IRR(C89:C92,D94)</f>
        <v>0.10531005918673553</v>
      </c>
    </row>
    <row r="95" spans="1:6">
      <c r="A95" s="63">
        <f>IRR(A89:A92)</f>
        <v>0.1053100591867342</v>
      </c>
      <c r="D95" s="10">
        <v>0.35</v>
      </c>
      <c r="E95" s="66">
        <f>IRR(C89:C92,D95)</f>
        <v>0.10531005918673553</v>
      </c>
    </row>
    <row r="96" spans="1:6">
      <c r="D96" s="10">
        <v>0.4</v>
      </c>
      <c r="E96" s="66">
        <f>IRR(C89:C92,D96)</f>
        <v>0.10531005918673553</v>
      </c>
    </row>
    <row r="97" spans="1:5">
      <c r="D97" s="10">
        <v>0.45</v>
      </c>
      <c r="E97" s="66">
        <f>IRR(C89:C92,D97)</f>
        <v>0.10531005918673575</v>
      </c>
    </row>
    <row r="98" spans="1:5">
      <c r="D98" s="10">
        <v>0.5</v>
      </c>
      <c r="E98" s="66">
        <f>IRR(C89:C92,D98)</f>
        <v>0.10531005918673619</v>
      </c>
    </row>
    <row r="99" spans="1:5">
      <c r="D99" s="11">
        <v>0.55000000000000004</v>
      </c>
      <c r="E99" s="66">
        <f>IRR(C89:C92,D99)</f>
        <v>0.1053100591867373</v>
      </c>
    </row>
    <row r="101" spans="1:5" ht="15.75" thickBot="1"/>
    <row r="102" spans="1:5" ht="15.75" thickBot="1">
      <c r="A102" s="82" t="s">
        <v>38</v>
      </c>
      <c r="B102" s="16" t="s">
        <v>39</v>
      </c>
      <c r="C102" s="18" t="s">
        <v>37</v>
      </c>
    </row>
    <row r="103" spans="1:5">
      <c r="A103" s="65">
        <v>-20000</v>
      </c>
      <c r="B103" s="76">
        <f>IRR(A103:A106)</f>
        <v>-9.5909414154996986E-2</v>
      </c>
      <c r="C103" s="66">
        <f>IRR(A103:A106,B103)</f>
        <v>-9.5909414154997208E-2</v>
      </c>
    </row>
    <row r="104" spans="1:5">
      <c r="A104" s="64">
        <v>82000</v>
      </c>
      <c r="B104" s="47">
        <v>0.15</v>
      </c>
      <c r="C104" s="66">
        <f>IRR(A103:A106,B104)</f>
        <v>-9.5909414155059047E-2</v>
      </c>
    </row>
    <row r="105" spans="1:5">
      <c r="A105" s="64">
        <v>-60000</v>
      </c>
      <c r="B105" s="47">
        <v>0.2</v>
      </c>
      <c r="C105" s="66">
        <f>IRR(A103:A106,B105)</f>
        <v>-9.5909414154996986E-2</v>
      </c>
    </row>
    <row r="106" spans="1:5">
      <c r="A106" s="64">
        <v>2000</v>
      </c>
      <c r="B106" s="47">
        <v>0.25</v>
      </c>
      <c r="C106" s="66">
        <f>IRR(A103:A106,B106)</f>
        <v>-9.5909414153667494E-2</v>
      </c>
    </row>
    <row r="107" spans="1:5">
      <c r="B107" s="47">
        <v>0.3</v>
      </c>
      <c r="C107" s="66">
        <f>IRR(A103:A106,B107)</f>
        <v>-9.590941415486065E-2</v>
      </c>
    </row>
    <row r="108" spans="1:5">
      <c r="B108" s="47">
        <v>0.35</v>
      </c>
      <c r="C108" s="66">
        <f>IRR(A103:A106,B108)</f>
        <v>-9.5909414154996986E-2</v>
      </c>
    </row>
    <row r="109" spans="1:5">
      <c r="B109" s="47">
        <v>0.4</v>
      </c>
      <c r="C109" s="66">
        <f>IRR(A103:A106,B109)</f>
        <v>-9.5909414154997874E-2</v>
      </c>
    </row>
    <row r="110" spans="1:5">
      <c r="B110" s="47">
        <v>0.45</v>
      </c>
      <c r="C110" s="66">
        <f>IRR(A103:A106,B110)</f>
        <v>2.160916914048538</v>
      </c>
    </row>
    <row r="111" spans="1:5">
      <c r="B111" s="47">
        <v>0.5</v>
      </c>
      <c r="C111" s="66">
        <f>IRR(A103:A106,B111)</f>
        <v>2.1609169140534945</v>
      </c>
    </row>
    <row r="112" spans="1:5">
      <c r="B112" s="47">
        <v>0.55000000000000004</v>
      </c>
      <c r="C112" s="66">
        <f>IRR(A103:A106,B112)</f>
        <v>2.1609169140387743</v>
      </c>
    </row>
    <row r="113" spans="1:3" ht="15.75" thickBot="1">
      <c r="B113" s="48">
        <v>0.6</v>
      </c>
      <c r="C113" s="66">
        <f>IRR(A103:A106,B113)</f>
        <v>2.1609169140492739</v>
      </c>
    </row>
    <row r="115" spans="1:3" ht="15.75" thickBot="1"/>
    <row r="116" spans="1:3" ht="15.75" thickBot="1">
      <c r="A116" s="60" t="s">
        <v>38</v>
      </c>
      <c r="B116" s="61" t="s">
        <v>39</v>
      </c>
      <c r="C116" s="80" t="s">
        <v>37</v>
      </c>
    </row>
    <row r="117" spans="1:3">
      <c r="A117" s="65">
        <v>10000</v>
      </c>
      <c r="B117" s="76">
        <f>IRR(A117:A120)</f>
        <v>0.1053100591867342</v>
      </c>
      <c r="C117" s="69">
        <f>IRR(A117:A120,B117)</f>
        <v>0.10531005918673575</v>
      </c>
    </row>
    <row r="118" spans="1:3">
      <c r="A118" s="64">
        <v>-5000</v>
      </c>
      <c r="B118" s="10">
        <v>0.05</v>
      </c>
      <c r="C118" s="30">
        <f>IRR($A$117:$A$120,B118)</f>
        <v>0.10531005918673531</v>
      </c>
    </row>
    <row r="119" spans="1:3">
      <c r="A119" s="64">
        <v>-8500</v>
      </c>
      <c r="B119" s="10">
        <v>0.15</v>
      </c>
      <c r="C119" s="30">
        <f t="shared" ref="C119:C126" si="7">IRR($A$117:$A$120,B119)</f>
        <v>0.10531005918673553</v>
      </c>
    </row>
    <row r="120" spans="1:3">
      <c r="A120" s="64">
        <v>2000</v>
      </c>
      <c r="B120" s="10">
        <v>0.2</v>
      </c>
      <c r="C120" s="30">
        <f t="shared" si="7"/>
        <v>0.10531005918672065</v>
      </c>
    </row>
    <row r="121" spans="1:3">
      <c r="B121" s="10">
        <v>0.25</v>
      </c>
      <c r="C121" s="30">
        <f t="shared" si="7"/>
        <v>0.10531005918632652</v>
      </c>
    </row>
    <row r="122" spans="1:3">
      <c r="B122" s="10">
        <v>0.3</v>
      </c>
      <c r="C122" s="30">
        <f t="shared" si="7"/>
        <v>0.10531005918673553</v>
      </c>
    </row>
    <row r="123" spans="1:3">
      <c r="B123" s="10">
        <v>0.35</v>
      </c>
      <c r="C123" s="30">
        <f t="shared" si="7"/>
        <v>0.10531005918673553</v>
      </c>
    </row>
    <row r="124" spans="1:3">
      <c r="B124" s="10">
        <v>0.4</v>
      </c>
      <c r="C124" s="30">
        <f>IRR($A$117:$A$120,B124)</f>
        <v>0.10531005918673553</v>
      </c>
    </row>
    <row r="125" spans="1:3">
      <c r="B125" s="10">
        <v>0.45</v>
      </c>
      <c r="C125" s="30">
        <f t="shared" si="7"/>
        <v>0.10531005918673575</v>
      </c>
    </row>
    <row r="126" spans="1:3">
      <c r="B126" s="10">
        <v>0.5</v>
      </c>
      <c r="C126" s="30">
        <f t="shared" si="7"/>
        <v>0.10531005918673619</v>
      </c>
    </row>
    <row r="127" spans="1:3">
      <c r="B127" s="11">
        <v>0.55000000000000004</v>
      </c>
      <c r="C127" s="30">
        <f>IRR($A$117:$A$120,B127)</f>
        <v>0.1053100591867373</v>
      </c>
    </row>
    <row r="129" spans="1:6">
      <c r="A129" s="59" t="s">
        <v>40</v>
      </c>
      <c r="B129" s="59" t="s">
        <v>41</v>
      </c>
      <c r="C129" s="59" t="s">
        <v>42</v>
      </c>
      <c r="E129" s="59" t="s">
        <v>35</v>
      </c>
      <c r="F129" s="59" t="s">
        <v>27</v>
      </c>
    </row>
    <row r="130" spans="1:6">
      <c r="A130" s="2">
        <v>0</v>
      </c>
      <c r="B130" s="2">
        <v>-1000</v>
      </c>
      <c r="C130" s="2">
        <v>-1000</v>
      </c>
      <c r="E130" s="74">
        <v>42220</v>
      </c>
      <c r="F130" s="2">
        <v>-10000</v>
      </c>
    </row>
    <row r="131" spans="1:6">
      <c r="A131" s="2">
        <v>1</v>
      </c>
      <c r="B131" s="2">
        <v>0</v>
      </c>
      <c r="C131" s="2">
        <v>400</v>
      </c>
      <c r="E131" s="2" t="s">
        <v>43</v>
      </c>
      <c r="F131" s="2">
        <v>4000</v>
      </c>
    </row>
    <row r="132" spans="1:6">
      <c r="A132" s="2">
        <v>2</v>
      </c>
      <c r="B132" s="2">
        <v>200</v>
      </c>
      <c r="C132" s="2">
        <v>400</v>
      </c>
      <c r="E132" s="2" t="s">
        <v>44</v>
      </c>
      <c r="F132" s="2">
        <v>3000</v>
      </c>
    </row>
    <row r="133" spans="1:6">
      <c r="A133" s="2">
        <v>3</v>
      </c>
      <c r="B133" s="2">
        <v>300</v>
      </c>
      <c r="C133" s="2">
        <v>300</v>
      </c>
      <c r="E133" s="2" t="s">
        <v>45</v>
      </c>
      <c r="F133" s="2">
        <v>5000</v>
      </c>
    </row>
    <row r="134" spans="1:6" ht="15.75" thickBot="1">
      <c r="A134" s="2">
        <v>4</v>
      </c>
      <c r="B134" s="2">
        <v>500</v>
      </c>
      <c r="C134" s="2">
        <v>300</v>
      </c>
    </row>
    <row r="135" spans="1:6" ht="15.75" thickBot="1">
      <c r="A135" s="44">
        <v>5</v>
      </c>
      <c r="B135" s="44">
        <v>900</v>
      </c>
      <c r="C135" s="44">
        <v>200</v>
      </c>
      <c r="E135" s="61" t="s">
        <v>46</v>
      </c>
      <c r="F135" s="75">
        <v>0.26419999999999999</v>
      </c>
    </row>
    <row r="136" spans="1:6" ht="15.75" thickBot="1">
      <c r="A136" s="61" t="s">
        <v>37</v>
      </c>
      <c r="B136" s="70">
        <f>IRR(B130:B135)</f>
        <v>0.17318426166949052</v>
      </c>
      <c r="C136" s="71">
        <f>IRR(C130:C135)</f>
        <v>0.20494783010707418</v>
      </c>
    </row>
    <row r="137" spans="1:6" ht="15.75" thickBot="1">
      <c r="A137" s="61" t="s">
        <v>36</v>
      </c>
      <c r="B137" s="72">
        <v>815.89</v>
      </c>
      <c r="C137" s="73">
        <v>552.4</v>
      </c>
    </row>
    <row r="140" spans="1:6">
      <c r="A140" s="59" t="s">
        <v>47</v>
      </c>
      <c r="B140" s="25">
        <v>0.1</v>
      </c>
    </row>
    <row r="141" spans="1:6">
      <c r="A141" s="59" t="s">
        <v>48</v>
      </c>
      <c r="B141" s="25">
        <v>0.12</v>
      </c>
    </row>
    <row r="143" spans="1:6">
      <c r="A143" s="59" t="s">
        <v>40</v>
      </c>
      <c r="B143" s="59" t="s">
        <v>27</v>
      </c>
    </row>
    <row r="144" spans="1:6">
      <c r="A144" s="2">
        <v>0</v>
      </c>
      <c r="B144" s="2">
        <v>-1.6</v>
      </c>
    </row>
    <row r="145" spans="1:2">
      <c r="A145" s="2">
        <v>1</v>
      </c>
      <c r="B145" s="2">
        <v>10</v>
      </c>
    </row>
    <row r="146" spans="1:2">
      <c r="A146" s="2">
        <v>2</v>
      </c>
      <c r="B146" s="2">
        <v>-10</v>
      </c>
    </row>
    <row r="147" spans="1:2" ht="15.75" thickBot="1"/>
    <row r="148" spans="1:2" ht="15.75" thickBot="1">
      <c r="A148" s="61" t="s">
        <v>49</v>
      </c>
      <c r="B148" s="80" t="s">
        <v>36</v>
      </c>
    </row>
    <row r="149" spans="1:2">
      <c r="A149" s="76">
        <v>0.1</v>
      </c>
      <c r="B149" s="77">
        <f>NPV(A149,B144:B146)</f>
        <v>-0.70323065364387649</v>
      </c>
    </row>
    <row r="150" spans="1:2">
      <c r="A150" s="67">
        <v>0.25</v>
      </c>
      <c r="B150" s="78">
        <f>NPV(A150,$B144:$B146)</f>
        <v>0</v>
      </c>
    </row>
    <row r="151" spans="1:2">
      <c r="A151" s="67">
        <v>1.1000000000000001</v>
      </c>
      <c r="B151" s="78">
        <f t="shared" ref="B151:B153" si="8">NPV(A151,$B145:$B147)</f>
        <v>2.4943310657596371</v>
      </c>
    </row>
    <row r="152" spans="1:2">
      <c r="A152" s="67">
        <v>4</v>
      </c>
      <c r="B152" s="78">
        <f t="shared" si="8"/>
        <v>-2</v>
      </c>
    </row>
    <row r="153" spans="1:2">
      <c r="A153" s="68">
        <v>5</v>
      </c>
      <c r="B153" s="78">
        <f t="shared" si="8"/>
        <v>-0.11720510894064608</v>
      </c>
    </row>
    <row r="155" spans="1:2">
      <c r="A155" s="59" t="s">
        <v>50</v>
      </c>
      <c r="B155" s="25">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DDCC3-0EE2-4F8F-B4E5-D6E0058435C7}">
  <dimension ref="A3:H104"/>
  <sheetViews>
    <sheetView topLeftCell="A66" workbookViewId="0">
      <selection activeCell="C101" sqref="C101:D104"/>
    </sheetView>
  </sheetViews>
  <sheetFormatPr defaultRowHeight="15"/>
  <cols>
    <col min="1" max="1" width="11.7109375" bestFit="1" customWidth="1"/>
    <col min="2" max="2" width="13.28515625" bestFit="1" customWidth="1"/>
    <col min="3" max="3" width="11.7109375" bestFit="1" customWidth="1"/>
    <col min="4" max="4" width="13.28515625" bestFit="1" customWidth="1"/>
    <col min="5" max="5" width="18.28515625" bestFit="1" customWidth="1"/>
    <col min="6" max="6" width="13.28515625" bestFit="1" customWidth="1"/>
    <col min="7" max="7" width="20.42578125" bestFit="1" customWidth="1"/>
    <col min="8" max="8" width="15.7109375" bestFit="1" customWidth="1"/>
    <col min="9" max="10" width="2.28515625" bestFit="1" customWidth="1"/>
    <col min="11" max="13" width="3.28515625" bestFit="1" customWidth="1"/>
    <col min="14" max="14" width="11.7109375" bestFit="1" customWidth="1"/>
  </cols>
  <sheetData>
    <row r="3" spans="1:5">
      <c r="A3" s="85" t="s">
        <v>51</v>
      </c>
      <c r="B3" t="s">
        <v>52</v>
      </c>
    </row>
    <row r="4" spans="1:5">
      <c r="A4" t="s">
        <v>53</v>
      </c>
      <c r="B4">
        <v>226</v>
      </c>
    </row>
    <row r="5" spans="1:5">
      <c r="A5" t="s">
        <v>54</v>
      </c>
      <c r="B5">
        <v>594</v>
      </c>
    </row>
    <row r="6" spans="1:5">
      <c r="A6" t="s">
        <v>55</v>
      </c>
    </row>
    <row r="7" spans="1:5">
      <c r="A7" t="s">
        <v>56</v>
      </c>
      <c r="B7">
        <v>820</v>
      </c>
    </row>
    <row r="11" spans="1:5">
      <c r="E11" s="85" t="s">
        <v>57</v>
      </c>
    </row>
    <row r="12" spans="1:5">
      <c r="E12" t="s">
        <v>58</v>
      </c>
    </row>
    <row r="13" spans="1:5">
      <c r="E13" t="s">
        <v>59</v>
      </c>
    </row>
    <row r="14" spans="1:5">
      <c r="E14" t="s">
        <v>60</v>
      </c>
    </row>
    <row r="15" spans="1:5">
      <c r="E15" t="s">
        <v>61</v>
      </c>
    </row>
    <row r="16" spans="1:5">
      <c r="E16" t="s">
        <v>56</v>
      </c>
    </row>
    <row r="19" spans="7:8">
      <c r="G19" s="85" t="s">
        <v>57</v>
      </c>
      <c r="H19" t="s">
        <v>62</v>
      </c>
    </row>
    <row r="20" spans="7:8">
      <c r="G20" t="s">
        <v>58</v>
      </c>
      <c r="H20">
        <v>10</v>
      </c>
    </row>
    <row r="21" spans="7:8">
      <c r="G21" t="s">
        <v>59</v>
      </c>
      <c r="H21">
        <v>9</v>
      </c>
    </row>
    <row r="22" spans="7:8">
      <c r="G22" t="s">
        <v>60</v>
      </c>
      <c r="H22">
        <v>18</v>
      </c>
    </row>
    <row r="23" spans="7:8">
      <c r="G23" t="s">
        <v>61</v>
      </c>
      <c r="H23">
        <v>3</v>
      </c>
    </row>
    <row r="24" spans="7:8">
      <c r="G24" t="s">
        <v>56</v>
      </c>
      <c r="H24">
        <v>40</v>
      </c>
    </row>
    <row r="46" spans="7:8">
      <c r="G46" t="s">
        <v>63</v>
      </c>
      <c r="H46" t="s">
        <v>64</v>
      </c>
    </row>
    <row r="47" spans="7:8">
      <c r="G47">
        <v>139</v>
      </c>
      <c r="H47">
        <v>239</v>
      </c>
    </row>
    <row r="76" spans="5:5">
      <c r="E76" s="85" t="s">
        <v>65</v>
      </c>
    </row>
    <row r="77" spans="5:5">
      <c r="E77" t="s">
        <v>66</v>
      </c>
    </row>
    <row r="78" spans="5:5">
      <c r="E78" t="s">
        <v>67</v>
      </c>
    </row>
    <row r="79" spans="5:5">
      <c r="E79" t="s">
        <v>68</v>
      </c>
    </row>
    <row r="80" spans="5:5">
      <c r="E80" t="s">
        <v>56</v>
      </c>
    </row>
    <row r="87" spans="6:8">
      <c r="F87" s="87"/>
      <c r="G87" s="88"/>
      <c r="H87" s="89"/>
    </row>
    <row r="88" spans="6:8">
      <c r="F88" s="90"/>
      <c r="G88" s="91"/>
      <c r="H88" s="92"/>
    </row>
    <row r="89" spans="6:8">
      <c r="F89" s="90"/>
      <c r="G89" s="91"/>
      <c r="H89" s="92"/>
    </row>
    <row r="90" spans="6:8">
      <c r="F90" s="90"/>
      <c r="G90" s="91"/>
      <c r="H90" s="92"/>
    </row>
    <row r="91" spans="6:8">
      <c r="F91" s="90"/>
      <c r="G91" s="91"/>
      <c r="H91" s="92"/>
    </row>
    <row r="92" spans="6:8">
      <c r="F92" s="90"/>
      <c r="G92" s="91"/>
      <c r="H92" s="92"/>
    </row>
    <row r="93" spans="6:8">
      <c r="F93" s="90"/>
      <c r="G93" s="91"/>
      <c r="H93" s="92"/>
    </row>
    <row r="94" spans="6:8">
      <c r="F94" s="90"/>
      <c r="G94" s="91"/>
      <c r="H94" s="92"/>
    </row>
    <row r="95" spans="6:8">
      <c r="F95" s="90"/>
      <c r="G95" s="91"/>
      <c r="H95" s="92"/>
    </row>
    <row r="96" spans="6:8">
      <c r="F96" s="90"/>
      <c r="G96" s="91"/>
      <c r="H96" s="92"/>
    </row>
    <row r="97" spans="3:8">
      <c r="F97" s="90"/>
      <c r="G97" s="91"/>
      <c r="H97" s="92"/>
    </row>
    <row r="98" spans="3:8">
      <c r="F98" s="90"/>
      <c r="G98" s="91"/>
      <c r="H98" s="92"/>
    </row>
    <row r="99" spans="3:8">
      <c r="F99" s="90"/>
      <c r="G99" s="91"/>
      <c r="H99" s="92"/>
    </row>
    <row r="100" spans="3:8">
      <c r="F100" s="90"/>
      <c r="G100" s="91"/>
      <c r="H100" s="92"/>
    </row>
    <row r="101" spans="3:8">
      <c r="C101" s="85" t="s">
        <v>51</v>
      </c>
      <c r="F101" s="90"/>
      <c r="G101" s="91"/>
      <c r="H101" s="92"/>
    </row>
    <row r="102" spans="3:8">
      <c r="C102" t="s">
        <v>53</v>
      </c>
      <c r="F102" s="90"/>
      <c r="G102" s="91"/>
      <c r="H102" s="92"/>
    </row>
    <row r="103" spans="3:8">
      <c r="C103" t="s">
        <v>54</v>
      </c>
      <c r="F103" s="90"/>
      <c r="G103" s="91"/>
      <c r="H103" s="92"/>
    </row>
    <row r="104" spans="3:8">
      <c r="C104" t="s">
        <v>56</v>
      </c>
      <c r="F104" s="93"/>
      <c r="G104" s="94"/>
      <c r="H104" s="95"/>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63D3F-3E1C-4EAC-B34A-A7BB7A9F8BF8}">
  <dimension ref="A1:AB41"/>
  <sheetViews>
    <sheetView tabSelected="1" workbookViewId="0">
      <selection activeCell="F3" sqref="A2:AB41"/>
    </sheetView>
  </sheetViews>
  <sheetFormatPr defaultRowHeight="15"/>
  <cols>
    <col min="1" max="1" width="16.28515625" bestFit="1" customWidth="1"/>
    <col min="2" max="2" width="9.7109375" bestFit="1" customWidth="1"/>
    <col min="3" max="3" width="6.5703125" bestFit="1" customWidth="1"/>
    <col min="4" max="4" width="13.85546875" bestFit="1" customWidth="1"/>
    <col min="5" max="5" width="22.5703125" bestFit="1" customWidth="1"/>
    <col min="6" max="6" width="16.42578125" bestFit="1" customWidth="1"/>
    <col min="7" max="7" width="16.85546875" bestFit="1" customWidth="1"/>
    <col min="8" max="8" width="13.85546875" bestFit="1" customWidth="1"/>
    <col min="9" max="9" width="21.5703125" bestFit="1" customWidth="1"/>
    <col min="10" max="10" width="17.140625" bestFit="1" customWidth="1"/>
    <col min="11" max="11" width="6.7109375" bestFit="1" customWidth="1"/>
    <col min="12" max="12" width="7.5703125" bestFit="1" customWidth="1"/>
    <col min="13" max="13" width="16.7109375" bestFit="1" customWidth="1"/>
    <col min="14" max="14" width="14" bestFit="1" customWidth="1"/>
    <col min="15" max="15" width="19.140625" bestFit="1" customWidth="1"/>
    <col min="16" max="16" width="17" bestFit="1" customWidth="1"/>
    <col min="17" max="18" width="17.42578125" bestFit="1" customWidth="1"/>
    <col min="19" max="19" width="9.28515625" bestFit="1" customWidth="1"/>
    <col min="20" max="20" width="20.42578125" bestFit="1" customWidth="1"/>
    <col min="21" max="21" width="31.42578125" bestFit="1" customWidth="1"/>
    <col min="22" max="22" width="19.140625" bestFit="1" customWidth="1"/>
    <col min="23" max="23" width="18.7109375" bestFit="1" customWidth="1"/>
    <col min="24" max="24" width="16.7109375" bestFit="1" customWidth="1"/>
    <col min="25" max="25" width="18" bestFit="1" customWidth="1"/>
    <col min="26" max="26" width="26" bestFit="1" customWidth="1"/>
  </cols>
  <sheetData>
    <row r="1" spans="1:28">
      <c r="A1" s="83" t="s">
        <v>69</v>
      </c>
      <c r="B1" s="83" t="s">
        <v>51</v>
      </c>
      <c r="C1" s="83" t="s">
        <v>70</v>
      </c>
      <c r="D1" s="83" t="s">
        <v>71</v>
      </c>
      <c r="E1" s="83" t="s">
        <v>72</v>
      </c>
      <c r="F1" s="83" t="s">
        <v>73</v>
      </c>
      <c r="G1" s="83" t="s">
        <v>74</v>
      </c>
      <c r="H1" s="83" t="s">
        <v>75</v>
      </c>
      <c r="I1" s="83" t="s">
        <v>76</v>
      </c>
      <c r="J1" s="83" t="s">
        <v>77</v>
      </c>
      <c r="K1" s="83" t="s">
        <v>78</v>
      </c>
      <c r="L1" s="83" t="s">
        <v>79</v>
      </c>
      <c r="M1" s="83" t="s">
        <v>80</v>
      </c>
      <c r="N1" s="83" t="s">
        <v>81</v>
      </c>
      <c r="O1" s="83" t="s">
        <v>82</v>
      </c>
      <c r="P1" s="83" t="s">
        <v>83</v>
      </c>
      <c r="Q1" s="83" t="s">
        <v>84</v>
      </c>
      <c r="R1" s="83" t="s">
        <v>85</v>
      </c>
      <c r="S1" s="83" t="s">
        <v>86</v>
      </c>
      <c r="T1" s="83" t="s">
        <v>65</v>
      </c>
      <c r="U1" s="83" t="s">
        <v>87</v>
      </c>
      <c r="V1" s="83" t="s">
        <v>57</v>
      </c>
      <c r="W1" s="83" t="s">
        <v>88</v>
      </c>
      <c r="X1" s="83" t="s">
        <v>89</v>
      </c>
      <c r="Y1" s="83" t="s">
        <v>90</v>
      </c>
      <c r="Z1" s="83" t="s">
        <v>91</v>
      </c>
      <c r="AA1" s="83" t="s">
        <v>92</v>
      </c>
      <c r="AB1" s="83" t="s">
        <v>93</v>
      </c>
    </row>
    <row r="2" spans="1:28">
      <c r="A2">
        <v>1</v>
      </c>
      <c r="B2" s="84" t="s">
        <v>53</v>
      </c>
      <c r="C2" s="84">
        <v>34</v>
      </c>
      <c r="D2" s="84" t="str">
        <f>IF(C2&lt;=25,"Young Adult",IF(C2&lt;=30,"Adults","Mature Adults"))</f>
        <v>Mature Adults</v>
      </c>
      <c r="E2" s="84" t="str">
        <f>IF(Table1[[#This Row],[Avenue]]="Equity","High Risk",IF(Table1[[#This Row],[Avenue]]="Mutual Fund","Medium Risk","Low Risk"))</f>
        <v>Medium Risk</v>
      </c>
      <c r="F2" s="84" t="str">
        <f t="shared" ref="F2:F41" si="0">IF(E2="High Risk","Aggressive Investor",IF(E2="Medium Risk","Balanced Investor","Conservative Investor"))</f>
        <v>Balanced Investor</v>
      </c>
      <c r="G2" s="84" t="s">
        <v>94</v>
      </c>
      <c r="H2" s="84">
        <v>1</v>
      </c>
      <c r="I2" s="84">
        <v>2</v>
      </c>
      <c r="J2" s="84">
        <v>5</v>
      </c>
      <c r="K2" s="84">
        <v>3</v>
      </c>
      <c r="L2" s="84">
        <v>7</v>
      </c>
      <c r="M2" s="84">
        <v>6</v>
      </c>
      <c r="N2" s="84">
        <v>4</v>
      </c>
      <c r="O2" s="84" t="s">
        <v>94</v>
      </c>
      <c r="P2" s="84" t="s">
        <v>95</v>
      </c>
      <c r="Q2" s="84" t="s">
        <v>96</v>
      </c>
      <c r="R2" s="84" t="s">
        <v>97</v>
      </c>
      <c r="S2" s="84" t="s">
        <v>98</v>
      </c>
      <c r="T2" s="84" t="s">
        <v>67</v>
      </c>
      <c r="U2" s="84" t="s">
        <v>99</v>
      </c>
      <c r="V2" s="84" t="s">
        <v>60</v>
      </c>
      <c r="W2" s="84" t="s">
        <v>100</v>
      </c>
      <c r="X2" s="84" t="s">
        <v>96</v>
      </c>
      <c r="Y2" s="84" t="s">
        <v>101</v>
      </c>
      <c r="Z2" s="84" t="s">
        <v>102</v>
      </c>
      <c r="AA2" s="84" t="s">
        <v>103</v>
      </c>
      <c r="AB2" s="84" t="s">
        <v>104</v>
      </c>
    </row>
    <row r="3" spans="1:28">
      <c r="A3">
        <v>2</v>
      </c>
      <c r="B3" s="84" t="s">
        <v>53</v>
      </c>
      <c r="C3" s="84">
        <v>23</v>
      </c>
      <c r="D3" s="84" t="str">
        <f t="shared" ref="D3:D41" si="1">IF(C3&lt;=25,"Young Adult",IF(C3&lt;=30,"Adults","Mature Adults"))</f>
        <v>Young Adult</v>
      </c>
      <c r="E3" s="84" t="str">
        <f>IF(Table1[[#This Row],[Avenue]]="Equity","High Risk",IF(Table1[[#This Row],[Avenue]]="Mutual Fund","Medium Risk","Low Risk"))</f>
        <v>Medium Risk</v>
      </c>
      <c r="F3" s="84" t="str">
        <f t="shared" si="0"/>
        <v>Balanced Investor</v>
      </c>
      <c r="G3" s="84" t="s">
        <v>94</v>
      </c>
      <c r="H3" s="84">
        <v>4</v>
      </c>
      <c r="I3" s="84">
        <v>3</v>
      </c>
      <c r="J3" s="84">
        <v>2</v>
      </c>
      <c r="K3" s="84">
        <v>1</v>
      </c>
      <c r="L3" s="84">
        <v>5</v>
      </c>
      <c r="M3" s="84">
        <v>6</v>
      </c>
      <c r="N3" s="84">
        <v>7</v>
      </c>
      <c r="O3" s="84" t="s">
        <v>105</v>
      </c>
      <c r="P3" s="84" t="s">
        <v>106</v>
      </c>
      <c r="Q3" s="84" t="s">
        <v>96</v>
      </c>
      <c r="R3" s="84" t="s">
        <v>97</v>
      </c>
      <c r="S3" s="84" t="s">
        <v>107</v>
      </c>
      <c r="T3" s="84" t="s">
        <v>68</v>
      </c>
      <c r="U3" s="84" t="s">
        <v>99</v>
      </c>
      <c r="V3" s="84" t="s">
        <v>60</v>
      </c>
      <c r="W3" s="84" t="s">
        <v>108</v>
      </c>
      <c r="X3" s="84" t="s">
        <v>109</v>
      </c>
      <c r="Y3" s="84" t="s">
        <v>101</v>
      </c>
      <c r="Z3" s="84" t="s">
        <v>102</v>
      </c>
      <c r="AA3" s="84" t="s">
        <v>110</v>
      </c>
      <c r="AB3" s="84" t="s">
        <v>111</v>
      </c>
    </row>
    <row r="4" spans="1:28">
      <c r="A4">
        <v>3</v>
      </c>
      <c r="B4" s="84" t="s">
        <v>54</v>
      </c>
      <c r="C4" s="84">
        <v>30</v>
      </c>
      <c r="D4" s="84" t="str">
        <f t="shared" si="1"/>
        <v>Adults</v>
      </c>
      <c r="E4" s="84" t="str">
        <f>IF(Table1[[#This Row],[Avenue]]="Equity","High Risk",IF(Table1[[#This Row],[Avenue]]="Mutual Fund","Medium Risk","Low Risk"))</f>
        <v>High Risk</v>
      </c>
      <c r="F4" s="84" t="str">
        <f t="shared" si="0"/>
        <v>Aggressive Investor</v>
      </c>
      <c r="G4" s="84" t="s">
        <v>94</v>
      </c>
      <c r="H4" s="84">
        <v>3</v>
      </c>
      <c r="I4" s="84">
        <v>6</v>
      </c>
      <c r="J4" s="84">
        <v>4</v>
      </c>
      <c r="K4" s="84">
        <v>2</v>
      </c>
      <c r="L4" s="84">
        <v>5</v>
      </c>
      <c r="M4" s="84">
        <v>1</v>
      </c>
      <c r="N4" s="84">
        <v>7</v>
      </c>
      <c r="O4" s="84" t="s">
        <v>94</v>
      </c>
      <c r="P4" s="84" t="s">
        <v>95</v>
      </c>
      <c r="Q4" s="84" t="s">
        <v>96</v>
      </c>
      <c r="R4" s="84" t="s">
        <v>97</v>
      </c>
      <c r="S4" s="84" t="s">
        <v>112</v>
      </c>
      <c r="T4" s="84" t="s">
        <v>66</v>
      </c>
      <c r="U4" s="84" t="s">
        <v>99</v>
      </c>
      <c r="V4" s="84" t="s">
        <v>58</v>
      </c>
      <c r="W4" s="84" t="s">
        <v>100</v>
      </c>
      <c r="X4" s="84" t="s">
        <v>96</v>
      </c>
      <c r="Y4" s="84" t="s">
        <v>113</v>
      </c>
      <c r="Z4" s="84" t="s">
        <v>114</v>
      </c>
      <c r="AA4" s="84" t="s">
        <v>103</v>
      </c>
      <c r="AB4" s="84" t="s">
        <v>115</v>
      </c>
    </row>
    <row r="5" spans="1:28">
      <c r="A5">
        <v>4</v>
      </c>
      <c r="B5" s="84" t="s">
        <v>54</v>
      </c>
      <c r="C5" s="84">
        <v>22</v>
      </c>
      <c r="D5" s="84" t="str">
        <f t="shared" si="1"/>
        <v>Young Adult</v>
      </c>
      <c r="E5" s="84" t="str">
        <f>IF(Table1[[#This Row],[Avenue]]="Equity","High Risk",IF(Table1[[#This Row],[Avenue]]="Mutual Fund","Medium Risk","Low Risk"))</f>
        <v>High Risk</v>
      </c>
      <c r="F5" s="84" t="str">
        <f t="shared" si="0"/>
        <v>Aggressive Investor</v>
      </c>
      <c r="G5" s="84" t="s">
        <v>94</v>
      </c>
      <c r="H5" s="84">
        <v>2</v>
      </c>
      <c r="I5" s="84">
        <v>1</v>
      </c>
      <c r="J5" s="84">
        <v>3</v>
      </c>
      <c r="K5" s="84">
        <v>7</v>
      </c>
      <c r="L5" s="84">
        <v>6</v>
      </c>
      <c r="M5" s="84">
        <v>4</v>
      </c>
      <c r="N5" s="84">
        <v>5</v>
      </c>
      <c r="O5" s="84" t="s">
        <v>94</v>
      </c>
      <c r="P5" s="84" t="s">
        <v>95</v>
      </c>
      <c r="Q5" s="84" t="s">
        <v>116</v>
      </c>
      <c r="R5" s="84" t="s">
        <v>97</v>
      </c>
      <c r="S5" s="84" t="s">
        <v>117</v>
      </c>
      <c r="T5" s="84" t="s">
        <v>66</v>
      </c>
      <c r="U5" s="84" t="s">
        <v>118</v>
      </c>
      <c r="V5" s="84" t="s">
        <v>58</v>
      </c>
      <c r="W5" s="84" t="s">
        <v>100</v>
      </c>
      <c r="X5" s="84" t="s">
        <v>109</v>
      </c>
      <c r="Y5" s="84" t="s">
        <v>119</v>
      </c>
      <c r="Z5" s="84" t="s">
        <v>120</v>
      </c>
      <c r="AA5" s="84" t="s">
        <v>110</v>
      </c>
      <c r="AB5" s="84" t="s">
        <v>121</v>
      </c>
    </row>
    <row r="6" spans="1:28">
      <c r="A6">
        <v>5</v>
      </c>
      <c r="B6" s="84" t="s">
        <v>53</v>
      </c>
      <c r="C6" s="84">
        <v>24</v>
      </c>
      <c r="D6" s="84" t="str">
        <f t="shared" si="1"/>
        <v>Young Adult</v>
      </c>
      <c r="E6" s="84" t="str">
        <f>IF(Table1[[#This Row],[Avenue]]="Equity","High Risk",IF(Table1[[#This Row],[Avenue]]="Mutual Fund","Medium Risk","Low Risk"))</f>
        <v>High Risk</v>
      </c>
      <c r="F6" s="84" t="str">
        <f t="shared" si="0"/>
        <v>Aggressive Investor</v>
      </c>
      <c r="G6" s="84" t="s">
        <v>105</v>
      </c>
      <c r="H6" s="84">
        <v>2</v>
      </c>
      <c r="I6" s="84">
        <v>1</v>
      </c>
      <c r="J6" s="84">
        <v>3</v>
      </c>
      <c r="K6" s="84">
        <v>6</v>
      </c>
      <c r="L6" s="84">
        <v>4</v>
      </c>
      <c r="M6" s="84">
        <v>5</v>
      </c>
      <c r="N6" s="84">
        <v>7</v>
      </c>
      <c r="O6" s="84" t="s">
        <v>105</v>
      </c>
      <c r="P6" s="84" t="s">
        <v>95</v>
      </c>
      <c r="Q6" s="84" t="s">
        <v>116</v>
      </c>
      <c r="R6" s="84" t="s">
        <v>97</v>
      </c>
      <c r="S6" s="84" t="s">
        <v>117</v>
      </c>
      <c r="T6" s="84" t="s">
        <v>66</v>
      </c>
      <c r="U6" s="84" t="s">
        <v>99</v>
      </c>
      <c r="V6" s="84" t="s">
        <v>58</v>
      </c>
      <c r="W6" s="84" t="s">
        <v>100</v>
      </c>
      <c r="X6" s="84" t="s">
        <v>96</v>
      </c>
      <c r="Y6" s="84" t="s">
        <v>101</v>
      </c>
      <c r="Z6" s="84" t="s">
        <v>102</v>
      </c>
      <c r="AA6" s="84" t="s">
        <v>122</v>
      </c>
      <c r="AB6" s="84" t="s">
        <v>121</v>
      </c>
    </row>
    <row r="7" spans="1:28">
      <c r="A7">
        <v>6</v>
      </c>
      <c r="B7" s="84" t="s">
        <v>53</v>
      </c>
      <c r="C7" s="84">
        <v>24</v>
      </c>
      <c r="D7" s="84" t="str">
        <f t="shared" si="1"/>
        <v>Young Adult</v>
      </c>
      <c r="E7" s="84" t="str">
        <f>IF(Table1[[#This Row],[Avenue]]="Equity","High Risk",IF(Table1[[#This Row],[Avenue]]="Mutual Fund","Medium Risk","Low Risk"))</f>
        <v>Medium Risk</v>
      </c>
      <c r="F7" s="84" t="str">
        <f t="shared" si="0"/>
        <v>Balanced Investor</v>
      </c>
      <c r="G7" s="84" t="s">
        <v>105</v>
      </c>
      <c r="H7" s="84">
        <v>7</v>
      </c>
      <c r="I7" s="84">
        <v>5</v>
      </c>
      <c r="J7" s="84">
        <v>4</v>
      </c>
      <c r="K7" s="84">
        <v>6</v>
      </c>
      <c r="L7" s="84">
        <v>3</v>
      </c>
      <c r="M7" s="84">
        <v>1</v>
      </c>
      <c r="N7" s="84">
        <v>2</v>
      </c>
      <c r="O7" s="84" t="s">
        <v>105</v>
      </c>
      <c r="P7" s="84" t="s">
        <v>123</v>
      </c>
      <c r="Q7" s="84" t="s">
        <v>96</v>
      </c>
      <c r="R7" s="84" t="s">
        <v>97</v>
      </c>
      <c r="S7" s="84" t="s">
        <v>98</v>
      </c>
      <c r="T7" s="84" t="s">
        <v>66</v>
      </c>
      <c r="U7" s="84" t="s">
        <v>124</v>
      </c>
      <c r="V7" s="84" t="s">
        <v>60</v>
      </c>
      <c r="W7" s="84" t="s">
        <v>100</v>
      </c>
      <c r="X7" s="84" t="s">
        <v>125</v>
      </c>
      <c r="Y7" s="84" t="s">
        <v>119</v>
      </c>
      <c r="Z7" s="84" t="s">
        <v>102</v>
      </c>
      <c r="AA7" s="84" t="s">
        <v>122</v>
      </c>
      <c r="AB7" s="84" t="s">
        <v>121</v>
      </c>
    </row>
    <row r="8" spans="1:28">
      <c r="A8">
        <v>7</v>
      </c>
      <c r="B8" s="84" t="s">
        <v>53</v>
      </c>
      <c r="C8" s="84">
        <v>27</v>
      </c>
      <c r="D8" s="84" t="str">
        <f t="shared" si="1"/>
        <v>Adults</v>
      </c>
      <c r="E8" s="84" t="str">
        <f>IF(Table1[[#This Row],[Avenue]]="Equity","High Risk",IF(Table1[[#This Row],[Avenue]]="Mutual Fund","Medium Risk","Low Risk"))</f>
        <v>High Risk</v>
      </c>
      <c r="F8" s="84" t="str">
        <f t="shared" si="0"/>
        <v>Aggressive Investor</v>
      </c>
      <c r="G8" s="84" t="s">
        <v>94</v>
      </c>
      <c r="H8" s="84">
        <v>3</v>
      </c>
      <c r="I8" s="84">
        <v>6</v>
      </c>
      <c r="J8" s="84">
        <v>4</v>
      </c>
      <c r="K8" s="84">
        <v>2</v>
      </c>
      <c r="L8" s="84">
        <v>5</v>
      </c>
      <c r="M8" s="84">
        <v>1</v>
      </c>
      <c r="N8" s="84">
        <v>7</v>
      </c>
      <c r="O8" s="84" t="s">
        <v>94</v>
      </c>
      <c r="P8" s="84" t="s">
        <v>95</v>
      </c>
      <c r="Q8" s="84" t="s">
        <v>96</v>
      </c>
      <c r="R8" s="84" t="s">
        <v>97</v>
      </c>
      <c r="S8" s="84" t="s">
        <v>112</v>
      </c>
      <c r="T8" s="84" t="s">
        <v>67</v>
      </c>
      <c r="U8" s="84" t="s">
        <v>99</v>
      </c>
      <c r="V8" s="84" t="s">
        <v>58</v>
      </c>
      <c r="W8" s="84" t="s">
        <v>100</v>
      </c>
      <c r="X8" s="84" t="s">
        <v>96</v>
      </c>
      <c r="Y8" s="84" t="s">
        <v>101</v>
      </c>
      <c r="Z8" s="84" t="s">
        <v>114</v>
      </c>
      <c r="AA8" s="84" t="s">
        <v>110</v>
      </c>
      <c r="AB8" s="84" t="s">
        <v>111</v>
      </c>
    </row>
    <row r="9" spans="1:28">
      <c r="A9">
        <v>8</v>
      </c>
      <c r="B9" s="84" t="s">
        <v>54</v>
      </c>
      <c r="C9" s="84">
        <v>21</v>
      </c>
      <c r="D9" s="84" t="str">
        <f t="shared" si="1"/>
        <v>Young Adult</v>
      </c>
      <c r="E9" s="84" t="str">
        <f>IF(Table1[[#This Row],[Avenue]]="Equity","High Risk",IF(Table1[[#This Row],[Avenue]]="Mutual Fund","Medium Risk","Low Risk"))</f>
        <v>Medium Risk</v>
      </c>
      <c r="F9" s="84" t="str">
        <f t="shared" si="0"/>
        <v>Balanced Investor</v>
      </c>
      <c r="G9" s="84" t="s">
        <v>94</v>
      </c>
      <c r="H9" s="84">
        <v>2</v>
      </c>
      <c r="I9" s="84">
        <v>3</v>
      </c>
      <c r="J9" s="84">
        <v>7</v>
      </c>
      <c r="K9" s="84">
        <v>4</v>
      </c>
      <c r="L9" s="84">
        <v>6</v>
      </c>
      <c r="M9" s="84">
        <v>1</v>
      </c>
      <c r="N9" s="84">
        <v>5</v>
      </c>
      <c r="O9" s="84" t="s">
        <v>94</v>
      </c>
      <c r="P9" s="84" t="s">
        <v>123</v>
      </c>
      <c r="Q9" s="84" t="s">
        <v>96</v>
      </c>
      <c r="R9" s="84" t="s">
        <v>97</v>
      </c>
      <c r="S9" s="84" t="s">
        <v>112</v>
      </c>
      <c r="T9" s="84" t="s">
        <v>67</v>
      </c>
      <c r="U9" s="84" t="s">
        <v>99</v>
      </c>
      <c r="V9" s="84" t="s">
        <v>60</v>
      </c>
      <c r="W9" s="84" t="s">
        <v>100</v>
      </c>
      <c r="X9" s="84" t="s">
        <v>96</v>
      </c>
      <c r="Y9" s="84" t="s">
        <v>101</v>
      </c>
      <c r="Z9" s="84" t="s">
        <v>114</v>
      </c>
      <c r="AA9" s="84" t="s">
        <v>122</v>
      </c>
      <c r="AB9" s="84" t="s">
        <v>104</v>
      </c>
    </row>
    <row r="10" spans="1:28">
      <c r="A10">
        <v>9</v>
      </c>
      <c r="B10" s="84" t="s">
        <v>54</v>
      </c>
      <c r="C10" s="84">
        <v>35</v>
      </c>
      <c r="D10" s="84" t="str">
        <f t="shared" si="1"/>
        <v>Mature Adults</v>
      </c>
      <c r="E10" s="84" t="str">
        <f>IF(Table1[[#This Row],[Avenue]]="Equity","High Risk",IF(Table1[[#This Row],[Avenue]]="Mutual Fund","Medium Risk","Low Risk"))</f>
        <v>High Risk</v>
      </c>
      <c r="F10" s="84" t="str">
        <f t="shared" si="0"/>
        <v>Aggressive Investor</v>
      </c>
      <c r="G10" s="84" t="s">
        <v>94</v>
      </c>
      <c r="H10" s="84">
        <v>2</v>
      </c>
      <c r="I10" s="84">
        <v>4</v>
      </c>
      <c r="J10" s="84">
        <v>7</v>
      </c>
      <c r="K10" s="84">
        <v>5</v>
      </c>
      <c r="L10" s="84">
        <v>3</v>
      </c>
      <c r="M10" s="84">
        <v>1</v>
      </c>
      <c r="N10" s="84">
        <v>6</v>
      </c>
      <c r="O10" s="84" t="s">
        <v>94</v>
      </c>
      <c r="P10" s="84" t="s">
        <v>95</v>
      </c>
      <c r="Q10" s="84" t="s">
        <v>126</v>
      </c>
      <c r="R10" s="84" t="s">
        <v>127</v>
      </c>
      <c r="S10" s="84" t="s">
        <v>98</v>
      </c>
      <c r="T10" s="84" t="s">
        <v>68</v>
      </c>
      <c r="U10" s="84" t="s">
        <v>99</v>
      </c>
      <c r="V10" s="84" t="s">
        <v>58</v>
      </c>
      <c r="W10" s="84" t="s">
        <v>100</v>
      </c>
      <c r="X10" s="84" t="s">
        <v>96</v>
      </c>
      <c r="Y10" s="84" t="s">
        <v>119</v>
      </c>
      <c r="Z10" s="84" t="s">
        <v>102</v>
      </c>
      <c r="AA10" s="84" t="s">
        <v>103</v>
      </c>
      <c r="AB10" s="84" t="s">
        <v>115</v>
      </c>
    </row>
    <row r="11" spans="1:28">
      <c r="A11">
        <v>10</v>
      </c>
      <c r="B11" s="84" t="s">
        <v>54</v>
      </c>
      <c r="C11" s="84">
        <v>31</v>
      </c>
      <c r="D11" s="84" t="str">
        <f t="shared" si="1"/>
        <v>Mature Adults</v>
      </c>
      <c r="E11" s="84" t="str">
        <f>IF(Table1[[#This Row],[Avenue]]="Equity","High Risk",IF(Table1[[#This Row],[Avenue]]="Mutual Fund","Medium Risk","Low Risk"))</f>
        <v>Low Risk</v>
      </c>
      <c r="F11" s="84" t="str">
        <f t="shared" si="0"/>
        <v>Conservative Investor</v>
      </c>
      <c r="G11" s="84" t="s">
        <v>94</v>
      </c>
      <c r="H11" s="84">
        <v>1</v>
      </c>
      <c r="I11" s="84">
        <v>3</v>
      </c>
      <c r="J11" s="84">
        <v>7</v>
      </c>
      <c r="K11" s="84">
        <v>4</v>
      </c>
      <c r="L11" s="84">
        <v>5</v>
      </c>
      <c r="M11" s="84">
        <v>2</v>
      </c>
      <c r="N11" s="84">
        <v>6</v>
      </c>
      <c r="O11" s="84" t="s">
        <v>94</v>
      </c>
      <c r="P11" s="84" t="s">
        <v>95</v>
      </c>
      <c r="Q11" s="84" t="s">
        <v>96</v>
      </c>
      <c r="R11" s="84" t="s">
        <v>97</v>
      </c>
      <c r="S11" s="84" t="s">
        <v>112</v>
      </c>
      <c r="T11" s="84" t="s">
        <v>67</v>
      </c>
      <c r="U11" s="84" t="s">
        <v>124</v>
      </c>
      <c r="V11" s="84" t="s">
        <v>59</v>
      </c>
      <c r="W11" s="84" t="s">
        <v>100</v>
      </c>
      <c r="X11" s="84" t="s">
        <v>96</v>
      </c>
      <c r="Y11" s="84" t="s">
        <v>119</v>
      </c>
      <c r="Z11" s="84" t="s">
        <v>114</v>
      </c>
      <c r="AA11" s="84" t="s">
        <v>103</v>
      </c>
      <c r="AB11" s="84" t="s">
        <v>104</v>
      </c>
    </row>
    <row r="12" spans="1:28">
      <c r="A12">
        <v>11</v>
      </c>
      <c r="B12" s="84" t="s">
        <v>53</v>
      </c>
      <c r="C12" s="84">
        <v>35</v>
      </c>
      <c r="D12" s="84" t="str">
        <f t="shared" si="1"/>
        <v>Mature Adults</v>
      </c>
      <c r="E12" s="84" t="str">
        <f>IF(Table1[[#This Row],[Avenue]]="Equity","High Risk",IF(Table1[[#This Row],[Avenue]]="Mutual Fund","Medium Risk","Low Risk"))</f>
        <v>Medium Risk</v>
      </c>
      <c r="F12" s="84" t="str">
        <f t="shared" si="0"/>
        <v>Balanced Investor</v>
      </c>
      <c r="G12" s="84" t="s">
        <v>94</v>
      </c>
      <c r="H12" s="84">
        <v>2</v>
      </c>
      <c r="I12" s="84">
        <v>4</v>
      </c>
      <c r="J12" s="84">
        <v>7</v>
      </c>
      <c r="K12" s="84">
        <v>5</v>
      </c>
      <c r="L12" s="84">
        <v>3</v>
      </c>
      <c r="M12" s="84">
        <v>1</v>
      </c>
      <c r="N12" s="84">
        <v>6</v>
      </c>
      <c r="O12" s="84" t="s">
        <v>94</v>
      </c>
      <c r="P12" s="84" t="s">
        <v>123</v>
      </c>
      <c r="Q12" s="84" t="s">
        <v>126</v>
      </c>
      <c r="R12" s="84" t="s">
        <v>127</v>
      </c>
      <c r="S12" s="84" t="s">
        <v>112</v>
      </c>
      <c r="T12" s="84" t="s">
        <v>67</v>
      </c>
      <c r="U12" s="84" t="s">
        <v>99</v>
      </c>
      <c r="V12" s="84" t="s">
        <v>60</v>
      </c>
      <c r="W12" s="84" t="s">
        <v>100</v>
      </c>
      <c r="X12" s="84" t="s">
        <v>96</v>
      </c>
      <c r="Y12" s="84" t="s">
        <v>101</v>
      </c>
      <c r="Z12" s="84" t="s">
        <v>114</v>
      </c>
      <c r="AA12" s="84" t="s">
        <v>122</v>
      </c>
      <c r="AB12" s="84" t="s">
        <v>111</v>
      </c>
    </row>
    <row r="13" spans="1:28">
      <c r="A13">
        <v>12</v>
      </c>
      <c r="B13" s="84" t="s">
        <v>54</v>
      </c>
      <c r="C13" s="84">
        <v>29</v>
      </c>
      <c r="D13" s="84" t="str">
        <f t="shared" si="1"/>
        <v>Adults</v>
      </c>
      <c r="E13" s="84" t="str">
        <f>IF(Table1[[#This Row],[Avenue]]="Equity","High Risk",IF(Table1[[#This Row],[Avenue]]="Mutual Fund","Medium Risk","Low Risk"))</f>
        <v>Medium Risk</v>
      </c>
      <c r="F13" s="84" t="str">
        <f t="shared" si="0"/>
        <v>Balanced Investor</v>
      </c>
      <c r="G13" s="84" t="s">
        <v>94</v>
      </c>
      <c r="H13" s="84">
        <v>2</v>
      </c>
      <c r="I13" s="84">
        <v>5</v>
      </c>
      <c r="J13" s="84">
        <v>7</v>
      </c>
      <c r="K13" s="84">
        <v>6</v>
      </c>
      <c r="L13" s="84">
        <v>3</v>
      </c>
      <c r="M13" s="84">
        <v>1</v>
      </c>
      <c r="N13" s="84">
        <v>4</v>
      </c>
      <c r="O13" s="84" t="s">
        <v>94</v>
      </c>
      <c r="P13" s="84" t="s">
        <v>123</v>
      </c>
      <c r="Q13" s="84" t="s">
        <v>96</v>
      </c>
      <c r="R13" s="84" t="s">
        <v>97</v>
      </c>
      <c r="S13" s="84" t="s">
        <v>98</v>
      </c>
      <c r="T13" s="84" t="s">
        <v>67</v>
      </c>
      <c r="U13" s="84" t="s">
        <v>99</v>
      </c>
      <c r="V13" s="84" t="s">
        <v>60</v>
      </c>
      <c r="W13" s="84" t="s">
        <v>100</v>
      </c>
      <c r="X13" s="84" t="s">
        <v>96</v>
      </c>
      <c r="Y13" s="84" t="s">
        <v>119</v>
      </c>
      <c r="Z13" s="84" t="s">
        <v>114</v>
      </c>
      <c r="AA13" s="84" t="s">
        <v>103</v>
      </c>
      <c r="AB13" s="84" t="s">
        <v>111</v>
      </c>
    </row>
    <row r="14" spans="1:28">
      <c r="A14">
        <v>13</v>
      </c>
      <c r="B14" s="84" t="s">
        <v>53</v>
      </c>
      <c r="C14" s="84">
        <v>21</v>
      </c>
      <c r="D14" s="84" t="str">
        <f t="shared" si="1"/>
        <v>Young Adult</v>
      </c>
      <c r="E14" s="84" t="str">
        <f>IF(Table1[[#This Row],[Avenue]]="Equity","High Risk",IF(Table1[[#This Row],[Avenue]]="Mutual Fund","Medium Risk","Low Risk"))</f>
        <v>Medium Risk</v>
      </c>
      <c r="F14" s="84" t="str">
        <f t="shared" si="0"/>
        <v>Balanced Investor</v>
      </c>
      <c r="G14" s="84" t="s">
        <v>105</v>
      </c>
      <c r="H14" s="84">
        <v>1</v>
      </c>
      <c r="I14" s="84">
        <v>2</v>
      </c>
      <c r="J14" s="84">
        <v>3</v>
      </c>
      <c r="K14" s="84">
        <v>4</v>
      </c>
      <c r="L14" s="84">
        <v>5</v>
      </c>
      <c r="M14" s="84">
        <v>6</v>
      </c>
      <c r="N14" s="84">
        <v>7</v>
      </c>
      <c r="O14" s="84" t="s">
        <v>105</v>
      </c>
      <c r="P14" s="84" t="s">
        <v>95</v>
      </c>
      <c r="Q14" s="84" t="s">
        <v>96</v>
      </c>
      <c r="R14" s="84" t="s">
        <v>127</v>
      </c>
      <c r="S14" s="84" t="s">
        <v>98</v>
      </c>
      <c r="T14" s="84" t="s">
        <v>68</v>
      </c>
      <c r="U14" s="84" t="s">
        <v>99</v>
      </c>
      <c r="V14" s="84" t="s">
        <v>60</v>
      </c>
      <c r="W14" s="84" t="s">
        <v>128</v>
      </c>
      <c r="X14" s="84" t="s">
        <v>109</v>
      </c>
      <c r="Y14" s="84" t="s">
        <v>101</v>
      </c>
      <c r="Z14" s="84" t="s">
        <v>102</v>
      </c>
      <c r="AA14" s="84" t="s">
        <v>122</v>
      </c>
      <c r="AB14" s="84" t="s">
        <v>121</v>
      </c>
    </row>
    <row r="15" spans="1:28">
      <c r="A15">
        <v>14</v>
      </c>
      <c r="B15" s="84" t="s">
        <v>53</v>
      </c>
      <c r="C15" s="84">
        <v>28</v>
      </c>
      <c r="D15" s="84" t="str">
        <f t="shared" si="1"/>
        <v>Adults</v>
      </c>
      <c r="E15" s="84" t="str">
        <f>IF(Table1[[#This Row],[Avenue]]="Equity","High Risk",IF(Table1[[#This Row],[Avenue]]="Mutual Fund","Medium Risk","Low Risk"))</f>
        <v>Medium Risk</v>
      </c>
      <c r="F15" s="84" t="str">
        <f t="shared" si="0"/>
        <v>Balanced Investor</v>
      </c>
      <c r="G15" s="84" t="s">
        <v>94</v>
      </c>
      <c r="H15" s="84">
        <v>2</v>
      </c>
      <c r="I15" s="84">
        <v>3</v>
      </c>
      <c r="J15" s="84">
        <v>7</v>
      </c>
      <c r="K15" s="84">
        <v>4</v>
      </c>
      <c r="L15" s="84">
        <v>5</v>
      </c>
      <c r="M15" s="84">
        <v>1</v>
      </c>
      <c r="N15" s="84">
        <v>6</v>
      </c>
      <c r="O15" s="84" t="s">
        <v>94</v>
      </c>
      <c r="P15" s="84" t="s">
        <v>95</v>
      </c>
      <c r="Q15" s="84" t="s">
        <v>96</v>
      </c>
      <c r="R15" s="84" t="s">
        <v>97</v>
      </c>
      <c r="S15" s="84" t="s">
        <v>98</v>
      </c>
      <c r="T15" s="84" t="s">
        <v>67</v>
      </c>
      <c r="U15" s="84" t="s">
        <v>99</v>
      </c>
      <c r="V15" s="84" t="s">
        <v>60</v>
      </c>
      <c r="W15" s="84" t="s">
        <v>100</v>
      </c>
      <c r="X15" s="84" t="s">
        <v>96</v>
      </c>
      <c r="Y15" s="84" t="s">
        <v>119</v>
      </c>
      <c r="Z15" s="84" t="s">
        <v>114</v>
      </c>
      <c r="AA15" s="84" t="s">
        <v>122</v>
      </c>
      <c r="AB15" s="84" t="s">
        <v>104</v>
      </c>
    </row>
    <row r="16" spans="1:28">
      <c r="A16">
        <v>15</v>
      </c>
      <c r="B16" s="84" t="s">
        <v>53</v>
      </c>
      <c r="C16" s="84">
        <v>25</v>
      </c>
      <c r="D16" s="84" t="str">
        <f t="shared" si="1"/>
        <v>Young Adult</v>
      </c>
      <c r="E16" s="84" t="str">
        <f>IF(Table1[[#This Row],[Avenue]]="Equity","High Risk",IF(Table1[[#This Row],[Avenue]]="Mutual Fund","Medium Risk","Low Risk"))</f>
        <v>Low Risk</v>
      </c>
      <c r="F16" s="84" t="str">
        <f t="shared" si="0"/>
        <v>Conservative Investor</v>
      </c>
      <c r="G16" s="84" t="s">
        <v>94</v>
      </c>
      <c r="H16" s="84">
        <v>2</v>
      </c>
      <c r="I16" s="84">
        <v>3</v>
      </c>
      <c r="J16" s="84">
        <v>7</v>
      </c>
      <c r="K16" s="84">
        <v>5</v>
      </c>
      <c r="L16" s="84">
        <v>4</v>
      </c>
      <c r="M16" s="84">
        <v>1</v>
      </c>
      <c r="N16" s="84">
        <v>6</v>
      </c>
      <c r="O16" s="84" t="s">
        <v>94</v>
      </c>
      <c r="P16" s="84" t="s">
        <v>95</v>
      </c>
      <c r="Q16" s="84" t="s">
        <v>96</v>
      </c>
      <c r="R16" s="84" t="s">
        <v>97</v>
      </c>
      <c r="S16" s="84" t="s">
        <v>98</v>
      </c>
      <c r="T16" s="84" t="s">
        <v>67</v>
      </c>
      <c r="U16" s="84" t="s">
        <v>99</v>
      </c>
      <c r="V16" s="84" t="s">
        <v>59</v>
      </c>
      <c r="W16" s="84" t="s">
        <v>108</v>
      </c>
      <c r="X16" s="84" t="s">
        <v>109</v>
      </c>
      <c r="Y16" s="84" t="s">
        <v>101</v>
      </c>
      <c r="Z16" s="84" t="s">
        <v>114</v>
      </c>
      <c r="AA16" s="84" t="s">
        <v>122</v>
      </c>
      <c r="AB16" s="84" t="s">
        <v>111</v>
      </c>
    </row>
    <row r="17" spans="1:28">
      <c r="A17">
        <v>16</v>
      </c>
      <c r="B17" s="84" t="s">
        <v>54</v>
      </c>
      <c r="C17" s="84">
        <v>27</v>
      </c>
      <c r="D17" s="84" t="str">
        <f t="shared" si="1"/>
        <v>Adults</v>
      </c>
      <c r="E17" s="84" t="str">
        <f>IF(Table1[[#This Row],[Avenue]]="Equity","High Risk",IF(Table1[[#This Row],[Avenue]]="Mutual Fund","Medium Risk","Low Risk"))</f>
        <v>Medium Risk</v>
      </c>
      <c r="F17" s="84" t="str">
        <f t="shared" si="0"/>
        <v>Balanced Investor</v>
      </c>
      <c r="G17" s="84" t="s">
        <v>94</v>
      </c>
      <c r="H17" s="84">
        <v>2</v>
      </c>
      <c r="I17" s="84">
        <v>3</v>
      </c>
      <c r="J17" s="84">
        <v>7</v>
      </c>
      <c r="K17" s="84">
        <v>5</v>
      </c>
      <c r="L17" s="84">
        <v>4</v>
      </c>
      <c r="M17" s="84">
        <v>1</v>
      </c>
      <c r="N17" s="84">
        <v>6</v>
      </c>
      <c r="O17" s="84" t="s">
        <v>94</v>
      </c>
      <c r="P17" s="84" t="s">
        <v>95</v>
      </c>
      <c r="Q17" s="84" t="s">
        <v>96</v>
      </c>
      <c r="R17" s="84" t="s">
        <v>97</v>
      </c>
      <c r="S17" s="84" t="s">
        <v>98</v>
      </c>
      <c r="T17" s="84" t="s">
        <v>67</v>
      </c>
      <c r="U17" s="84" t="s">
        <v>99</v>
      </c>
      <c r="V17" s="84" t="s">
        <v>60</v>
      </c>
      <c r="W17" s="84" t="s">
        <v>108</v>
      </c>
      <c r="X17" s="84" t="s">
        <v>96</v>
      </c>
      <c r="Y17" s="84" t="s">
        <v>119</v>
      </c>
      <c r="Z17" s="84" t="s">
        <v>114</v>
      </c>
      <c r="AA17" s="84" t="s">
        <v>122</v>
      </c>
      <c r="AB17" s="84" t="s">
        <v>104</v>
      </c>
    </row>
    <row r="18" spans="1:28">
      <c r="A18">
        <v>17</v>
      </c>
      <c r="B18" s="84" t="s">
        <v>53</v>
      </c>
      <c r="C18" s="84">
        <v>28</v>
      </c>
      <c r="D18" s="84" t="str">
        <f t="shared" si="1"/>
        <v>Adults</v>
      </c>
      <c r="E18" s="84" t="str">
        <f>IF(Table1[[#This Row],[Avenue]]="Equity","High Risk",IF(Table1[[#This Row],[Avenue]]="Mutual Fund","Medium Risk","Low Risk"))</f>
        <v>Low Risk</v>
      </c>
      <c r="F18" s="84" t="str">
        <f t="shared" si="0"/>
        <v>Conservative Investor</v>
      </c>
      <c r="G18" s="84" t="s">
        <v>94</v>
      </c>
      <c r="H18" s="84">
        <v>3</v>
      </c>
      <c r="I18" s="84">
        <v>2</v>
      </c>
      <c r="J18" s="84">
        <v>7</v>
      </c>
      <c r="K18" s="84">
        <v>5</v>
      </c>
      <c r="L18" s="84">
        <v>4</v>
      </c>
      <c r="M18" s="84">
        <v>1</v>
      </c>
      <c r="N18" s="84">
        <v>6</v>
      </c>
      <c r="O18" s="84" t="s">
        <v>94</v>
      </c>
      <c r="P18" s="84" t="s">
        <v>123</v>
      </c>
      <c r="Q18" s="84" t="s">
        <v>126</v>
      </c>
      <c r="R18" s="84" t="s">
        <v>97</v>
      </c>
      <c r="S18" s="84" t="s">
        <v>98</v>
      </c>
      <c r="T18" s="84" t="s">
        <v>67</v>
      </c>
      <c r="U18" s="84" t="s">
        <v>99</v>
      </c>
      <c r="V18" s="84" t="s">
        <v>59</v>
      </c>
      <c r="W18" s="84" t="s">
        <v>108</v>
      </c>
      <c r="X18" s="84" t="s">
        <v>96</v>
      </c>
      <c r="Y18" s="84" t="s">
        <v>119</v>
      </c>
      <c r="Z18" s="84" t="s">
        <v>114</v>
      </c>
      <c r="AA18" s="84" t="s">
        <v>122</v>
      </c>
      <c r="AB18" s="84" t="s">
        <v>115</v>
      </c>
    </row>
    <row r="19" spans="1:28">
      <c r="A19">
        <v>18</v>
      </c>
      <c r="B19" s="84" t="s">
        <v>54</v>
      </c>
      <c r="C19" s="84">
        <v>27</v>
      </c>
      <c r="D19" s="84" t="str">
        <f t="shared" si="1"/>
        <v>Adults</v>
      </c>
      <c r="E19" s="84" t="str">
        <f>IF(Table1[[#This Row],[Avenue]]="Equity","High Risk",IF(Table1[[#This Row],[Avenue]]="Mutual Fund","Medium Risk","Low Risk"))</f>
        <v>Medium Risk</v>
      </c>
      <c r="F19" s="84" t="str">
        <f t="shared" si="0"/>
        <v>Balanced Investor</v>
      </c>
      <c r="G19" s="84" t="s">
        <v>94</v>
      </c>
      <c r="H19" s="84">
        <v>3</v>
      </c>
      <c r="I19" s="84">
        <v>2</v>
      </c>
      <c r="J19" s="84">
        <v>7</v>
      </c>
      <c r="K19" s="84">
        <v>4</v>
      </c>
      <c r="L19" s="84">
        <v>5</v>
      </c>
      <c r="M19" s="84">
        <v>1</v>
      </c>
      <c r="N19" s="84">
        <v>6</v>
      </c>
      <c r="O19" s="84" t="s">
        <v>94</v>
      </c>
      <c r="P19" s="84" t="s">
        <v>95</v>
      </c>
      <c r="Q19" s="84" t="s">
        <v>96</v>
      </c>
      <c r="R19" s="84" t="s">
        <v>97</v>
      </c>
      <c r="S19" s="84" t="s">
        <v>98</v>
      </c>
      <c r="T19" s="84" t="s">
        <v>67</v>
      </c>
      <c r="U19" s="84" t="s">
        <v>99</v>
      </c>
      <c r="V19" s="84" t="s">
        <v>60</v>
      </c>
      <c r="W19" s="84" t="s">
        <v>100</v>
      </c>
      <c r="X19" s="84" t="s">
        <v>96</v>
      </c>
      <c r="Y19" s="84" t="s">
        <v>101</v>
      </c>
      <c r="Z19" s="84" t="s">
        <v>114</v>
      </c>
      <c r="AA19" s="84" t="s">
        <v>122</v>
      </c>
      <c r="AB19" s="84" t="s">
        <v>111</v>
      </c>
    </row>
    <row r="20" spans="1:28">
      <c r="A20">
        <v>19</v>
      </c>
      <c r="B20" s="84" t="s">
        <v>54</v>
      </c>
      <c r="C20" s="84">
        <v>29</v>
      </c>
      <c r="D20" s="84" t="str">
        <f t="shared" si="1"/>
        <v>Adults</v>
      </c>
      <c r="E20" s="84" t="str">
        <f>IF(Table1[[#This Row],[Avenue]]="Equity","High Risk",IF(Table1[[#This Row],[Avenue]]="Mutual Fund","Medium Risk","Low Risk"))</f>
        <v>Medium Risk</v>
      </c>
      <c r="F20" s="84" t="str">
        <f t="shared" si="0"/>
        <v>Balanced Investor</v>
      </c>
      <c r="G20" s="84" t="s">
        <v>94</v>
      </c>
      <c r="H20" s="84">
        <v>3</v>
      </c>
      <c r="I20" s="84">
        <v>2</v>
      </c>
      <c r="J20" s="84">
        <v>7</v>
      </c>
      <c r="K20" s="84">
        <v>4</v>
      </c>
      <c r="L20" s="84">
        <v>5</v>
      </c>
      <c r="M20" s="84">
        <v>1</v>
      </c>
      <c r="N20" s="84">
        <v>6</v>
      </c>
      <c r="O20" s="84" t="s">
        <v>94</v>
      </c>
      <c r="P20" s="84" t="s">
        <v>123</v>
      </c>
      <c r="Q20" s="84" t="s">
        <v>96</v>
      </c>
      <c r="R20" s="84" t="s">
        <v>97</v>
      </c>
      <c r="S20" s="84" t="s">
        <v>98</v>
      </c>
      <c r="T20" s="84" t="s">
        <v>67</v>
      </c>
      <c r="U20" s="84" t="s">
        <v>99</v>
      </c>
      <c r="V20" s="84" t="s">
        <v>60</v>
      </c>
      <c r="W20" s="84" t="s">
        <v>100</v>
      </c>
      <c r="X20" s="84" t="s">
        <v>96</v>
      </c>
      <c r="Y20" s="84" t="s">
        <v>101</v>
      </c>
      <c r="Z20" s="84" t="s">
        <v>114</v>
      </c>
      <c r="AA20" s="84" t="s">
        <v>122</v>
      </c>
      <c r="AB20" s="84" t="s">
        <v>104</v>
      </c>
    </row>
    <row r="21" spans="1:28">
      <c r="A21">
        <v>20</v>
      </c>
      <c r="B21" s="84" t="s">
        <v>54</v>
      </c>
      <c r="C21" s="84">
        <v>26</v>
      </c>
      <c r="D21" s="84" t="str">
        <f t="shared" si="1"/>
        <v>Adults</v>
      </c>
      <c r="E21" s="84" t="str">
        <f>IF(Table1[[#This Row],[Avenue]]="Equity","High Risk",IF(Table1[[#This Row],[Avenue]]="Mutual Fund","Medium Risk","Low Risk"))</f>
        <v>Low Risk</v>
      </c>
      <c r="F21" s="84" t="str">
        <f t="shared" si="0"/>
        <v>Conservative Investor</v>
      </c>
      <c r="G21" s="84" t="s">
        <v>94</v>
      </c>
      <c r="H21" s="84">
        <v>3</v>
      </c>
      <c r="I21" s="84">
        <v>4</v>
      </c>
      <c r="J21" s="84">
        <v>6</v>
      </c>
      <c r="K21" s="84">
        <v>5</v>
      </c>
      <c r="L21" s="84">
        <v>1</v>
      </c>
      <c r="M21" s="84">
        <v>2</v>
      </c>
      <c r="N21" s="84">
        <v>7</v>
      </c>
      <c r="O21" s="84" t="s">
        <v>94</v>
      </c>
      <c r="P21" s="84" t="s">
        <v>123</v>
      </c>
      <c r="Q21" s="84" t="s">
        <v>96</v>
      </c>
      <c r="R21" s="84" t="s">
        <v>97</v>
      </c>
      <c r="S21" s="84" t="s">
        <v>112</v>
      </c>
      <c r="T21" s="84" t="s">
        <v>67</v>
      </c>
      <c r="U21" s="84" t="s">
        <v>99</v>
      </c>
      <c r="V21" s="84" t="s">
        <v>59</v>
      </c>
      <c r="W21" s="84" t="s">
        <v>108</v>
      </c>
      <c r="X21" s="84" t="s">
        <v>96</v>
      </c>
      <c r="Y21" s="84" t="s">
        <v>119</v>
      </c>
      <c r="Z21" s="84" t="s">
        <v>114</v>
      </c>
      <c r="AA21" s="84" t="s">
        <v>122</v>
      </c>
      <c r="AB21" s="84" t="s">
        <v>104</v>
      </c>
    </row>
    <row r="22" spans="1:28">
      <c r="A22">
        <v>21</v>
      </c>
      <c r="B22" s="84" t="s">
        <v>54</v>
      </c>
      <c r="C22" s="84">
        <v>29</v>
      </c>
      <c r="D22" s="84" t="str">
        <f t="shared" si="1"/>
        <v>Adults</v>
      </c>
      <c r="E22" s="84" t="str">
        <f>IF(Table1[[#This Row],[Avenue]]="Equity","High Risk",IF(Table1[[#This Row],[Avenue]]="Mutual Fund","Medium Risk","Low Risk"))</f>
        <v>Medium Risk</v>
      </c>
      <c r="F22" s="84" t="str">
        <f t="shared" si="0"/>
        <v>Balanced Investor</v>
      </c>
      <c r="G22" s="84" t="s">
        <v>94</v>
      </c>
      <c r="H22" s="84">
        <v>2</v>
      </c>
      <c r="I22" s="84">
        <v>4</v>
      </c>
      <c r="J22" s="84">
        <v>7</v>
      </c>
      <c r="K22" s="84">
        <v>5</v>
      </c>
      <c r="L22" s="84">
        <v>3</v>
      </c>
      <c r="M22" s="84">
        <v>1</v>
      </c>
      <c r="N22" s="84">
        <v>6</v>
      </c>
      <c r="O22" s="84" t="s">
        <v>94</v>
      </c>
      <c r="P22" s="84" t="s">
        <v>95</v>
      </c>
      <c r="Q22" s="84" t="s">
        <v>126</v>
      </c>
      <c r="R22" s="84" t="s">
        <v>97</v>
      </c>
      <c r="S22" s="84" t="s">
        <v>112</v>
      </c>
      <c r="T22" s="84" t="s">
        <v>68</v>
      </c>
      <c r="U22" s="84" t="s">
        <v>99</v>
      </c>
      <c r="V22" s="84" t="s">
        <v>60</v>
      </c>
      <c r="W22" s="84" t="s">
        <v>100</v>
      </c>
      <c r="X22" s="84" t="s">
        <v>96</v>
      </c>
      <c r="Y22" s="84" t="s">
        <v>101</v>
      </c>
      <c r="Z22" s="84" t="s">
        <v>114</v>
      </c>
      <c r="AA22" s="84" t="s">
        <v>103</v>
      </c>
      <c r="AB22" s="84" t="s">
        <v>111</v>
      </c>
    </row>
    <row r="23" spans="1:28">
      <c r="A23">
        <v>22</v>
      </c>
      <c r="B23" s="84" t="s">
        <v>53</v>
      </c>
      <c r="C23" s="84">
        <v>24</v>
      </c>
      <c r="D23" s="84" t="str">
        <f t="shared" si="1"/>
        <v>Young Adult</v>
      </c>
      <c r="E23" s="84" t="str">
        <f>IF(Table1[[#This Row],[Avenue]]="Equity","High Risk",IF(Table1[[#This Row],[Avenue]]="Mutual Fund","Medium Risk","Low Risk"))</f>
        <v>High Risk</v>
      </c>
      <c r="F23" s="84" t="str">
        <f t="shared" si="0"/>
        <v>Aggressive Investor</v>
      </c>
      <c r="G23" s="84" t="s">
        <v>94</v>
      </c>
      <c r="H23" s="84">
        <v>2</v>
      </c>
      <c r="I23" s="84">
        <v>4</v>
      </c>
      <c r="J23" s="84">
        <v>5</v>
      </c>
      <c r="K23" s="84">
        <v>6</v>
      </c>
      <c r="L23" s="84">
        <v>3</v>
      </c>
      <c r="M23" s="84">
        <v>1</v>
      </c>
      <c r="N23" s="84">
        <v>7</v>
      </c>
      <c r="O23" s="84" t="s">
        <v>94</v>
      </c>
      <c r="P23" s="84" t="s">
        <v>123</v>
      </c>
      <c r="Q23" s="84" t="s">
        <v>96</v>
      </c>
      <c r="R23" s="84" t="s">
        <v>97</v>
      </c>
      <c r="S23" s="84" t="s">
        <v>112</v>
      </c>
      <c r="T23" s="84" t="s">
        <v>67</v>
      </c>
      <c r="U23" s="84" t="s">
        <v>99</v>
      </c>
      <c r="V23" s="84" t="s">
        <v>58</v>
      </c>
      <c r="W23" s="84" t="s">
        <v>108</v>
      </c>
      <c r="X23" s="84" t="s">
        <v>96</v>
      </c>
      <c r="Y23" s="84" t="s">
        <v>101</v>
      </c>
      <c r="Z23" s="84" t="s">
        <v>114</v>
      </c>
      <c r="AA23" s="84" t="s">
        <v>122</v>
      </c>
      <c r="AB23" s="84" t="s">
        <v>104</v>
      </c>
    </row>
    <row r="24" spans="1:28">
      <c r="A24">
        <v>23</v>
      </c>
      <c r="B24" s="84" t="s">
        <v>54</v>
      </c>
      <c r="C24" s="84">
        <v>27</v>
      </c>
      <c r="D24" s="84" t="str">
        <f t="shared" si="1"/>
        <v>Adults</v>
      </c>
      <c r="E24" s="84" t="str">
        <f>IF(Table1[[#This Row],[Avenue]]="Equity","High Risk",IF(Table1[[#This Row],[Avenue]]="Mutual Fund","Medium Risk","Low Risk"))</f>
        <v>Medium Risk</v>
      </c>
      <c r="F24" s="84" t="str">
        <f t="shared" si="0"/>
        <v>Balanced Investor</v>
      </c>
      <c r="G24" s="84" t="s">
        <v>94</v>
      </c>
      <c r="H24" s="84">
        <v>3</v>
      </c>
      <c r="I24" s="84">
        <v>4</v>
      </c>
      <c r="J24" s="84">
        <v>6</v>
      </c>
      <c r="K24" s="84">
        <v>5</v>
      </c>
      <c r="L24" s="84">
        <v>2</v>
      </c>
      <c r="M24" s="84">
        <v>1</v>
      </c>
      <c r="N24" s="84">
        <v>7</v>
      </c>
      <c r="O24" s="84" t="s">
        <v>94</v>
      </c>
      <c r="P24" s="84" t="s">
        <v>95</v>
      </c>
      <c r="Q24" s="84" t="s">
        <v>96</v>
      </c>
      <c r="R24" s="84" t="s">
        <v>97</v>
      </c>
      <c r="S24" s="84" t="s">
        <v>112</v>
      </c>
      <c r="T24" s="84" t="s">
        <v>67</v>
      </c>
      <c r="U24" s="84" t="s">
        <v>99</v>
      </c>
      <c r="V24" s="84" t="s">
        <v>60</v>
      </c>
      <c r="W24" s="84" t="s">
        <v>100</v>
      </c>
      <c r="X24" s="84" t="s">
        <v>96</v>
      </c>
      <c r="Y24" s="84" t="s">
        <v>101</v>
      </c>
      <c r="Z24" s="84" t="s">
        <v>114</v>
      </c>
      <c r="AA24" s="84" t="s">
        <v>122</v>
      </c>
      <c r="AB24" s="84" t="s">
        <v>111</v>
      </c>
    </row>
    <row r="25" spans="1:28">
      <c r="A25">
        <v>24</v>
      </c>
      <c r="B25" s="84" t="s">
        <v>54</v>
      </c>
      <c r="C25" s="84">
        <v>25</v>
      </c>
      <c r="D25" s="84" t="str">
        <f t="shared" si="1"/>
        <v>Young Adult</v>
      </c>
      <c r="E25" s="84" t="str">
        <f>IF(Table1[[#This Row],[Avenue]]="Equity","High Risk",IF(Table1[[#This Row],[Avenue]]="Mutual Fund","Medium Risk","Low Risk"))</f>
        <v>Low Risk</v>
      </c>
      <c r="F25" s="84" t="str">
        <f t="shared" si="0"/>
        <v>Conservative Investor</v>
      </c>
      <c r="G25" s="84" t="s">
        <v>94</v>
      </c>
      <c r="H25" s="84">
        <v>2</v>
      </c>
      <c r="I25" s="84">
        <v>4</v>
      </c>
      <c r="J25" s="84">
        <v>6</v>
      </c>
      <c r="K25" s="84">
        <v>5</v>
      </c>
      <c r="L25" s="84">
        <v>3</v>
      </c>
      <c r="M25" s="84">
        <v>1</v>
      </c>
      <c r="N25" s="84">
        <v>7</v>
      </c>
      <c r="O25" s="84" t="s">
        <v>94</v>
      </c>
      <c r="P25" s="84" t="s">
        <v>123</v>
      </c>
      <c r="Q25" s="84" t="s">
        <v>126</v>
      </c>
      <c r="R25" s="84" t="s">
        <v>127</v>
      </c>
      <c r="S25" s="84" t="s">
        <v>112</v>
      </c>
      <c r="T25" s="84" t="s">
        <v>68</v>
      </c>
      <c r="U25" s="84" t="s">
        <v>99</v>
      </c>
      <c r="V25" s="84" t="s">
        <v>61</v>
      </c>
      <c r="W25" s="84" t="s">
        <v>108</v>
      </c>
      <c r="X25" s="84" t="s">
        <v>125</v>
      </c>
      <c r="Y25" s="84" t="s">
        <v>101</v>
      </c>
      <c r="Z25" s="84" t="s">
        <v>114</v>
      </c>
      <c r="AA25" s="84" t="s">
        <v>122</v>
      </c>
      <c r="AB25" s="84" t="s">
        <v>111</v>
      </c>
    </row>
    <row r="26" spans="1:28">
      <c r="A26">
        <v>25</v>
      </c>
      <c r="B26" s="84" t="s">
        <v>53</v>
      </c>
      <c r="C26" s="84">
        <v>26</v>
      </c>
      <c r="D26" s="84" t="str">
        <f t="shared" si="1"/>
        <v>Adults</v>
      </c>
      <c r="E26" s="84" t="str">
        <f>IF(Table1[[#This Row],[Avenue]]="Equity","High Risk",IF(Table1[[#This Row],[Avenue]]="Mutual Fund","Medium Risk","Low Risk"))</f>
        <v>Low Risk</v>
      </c>
      <c r="F26" s="84" t="str">
        <f t="shared" si="0"/>
        <v>Conservative Investor</v>
      </c>
      <c r="G26" s="84" t="s">
        <v>94</v>
      </c>
      <c r="H26" s="84">
        <v>2</v>
      </c>
      <c r="I26" s="84">
        <v>3</v>
      </c>
      <c r="J26" s="84">
        <v>7</v>
      </c>
      <c r="K26" s="84">
        <v>5</v>
      </c>
      <c r="L26" s="84">
        <v>4</v>
      </c>
      <c r="M26" s="84">
        <v>1</v>
      </c>
      <c r="N26" s="84">
        <v>6</v>
      </c>
      <c r="O26" s="84" t="s">
        <v>94</v>
      </c>
      <c r="P26" s="84" t="s">
        <v>95</v>
      </c>
      <c r="Q26" s="84" t="s">
        <v>96</v>
      </c>
      <c r="R26" s="84" t="s">
        <v>97</v>
      </c>
      <c r="S26" s="84" t="s">
        <v>112</v>
      </c>
      <c r="T26" s="84" t="s">
        <v>67</v>
      </c>
      <c r="U26" s="84" t="s">
        <v>124</v>
      </c>
      <c r="V26" s="84" t="s">
        <v>61</v>
      </c>
      <c r="W26" s="84" t="s">
        <v>100</v>
      </c>
      <c r="X26" s="84" t="s">
        <v>96</v>
      </c>
      <c r="Y26" s="84" t="s">
        <v>101</v>
      </c>
      <c r="Z26" s="84" t="s">
        <v>114</v>
      </c>
      <c r="AA26" s="84" t="s">
        <v>122</v>
      </c>
      <c r="AB26" s="84" t="s">
        <v>104</v>
      </c>
    </row>
    <row r="27" spans="1:28">
      <c r="A27">
        <v>26</v>
      </c>
      <c r="B27" s="84" t="s">
        <v>53</v>
      </c>
      <c r="C27" s="84">
        <v>32</v>
      </c>
      <c r="D27" s="84" t="str">
        <f t="shared" si="1"/>
        <v>Mature Adults</v>
      </c>
      <c r="E27" s="84" t="str">
        <f>IF(Table1[[#This Row],[Avenue]]="Equity","High Risk",IF(Table1[[#This Row],[Avenue]]="Mutual Fund","Medium Risk","Low Risk"))</f>
        <v>Medium Risk</v>
      </c>
      <c r="F27" s="84" t="str">
        <f t="shared" si="0"/>
        <v>Balanced Investor</v>
      </c>
      <c r="G27" s="84" t="s">
        <v>94</v>
      </c>
      <c r="H27" s="84">
        <v>3</v>
      </c>
      <c r="I27" s="84">
        <v>4</v>
      </c>
      <c r="J27" s="84">
        <v>7</v>
      </c>
      <c r="K27" s="84">
        <v>5</v>
      </c>
      <c r="L27" s="84">
        <v>1</v>
      </c>
      <c r="M27" s="84">
        <v>2</v>
      </c>
      <c r="N27" s="84">
        <v>6</v>
      </c>
      <c r="O27" s="84" t="s">
        <v>94</v>
      </c>
      <c r="P27" s="84" t="s">
        <v>123</v>
      </c>
      <c r="Q27" s="84" t="s">
        <v>126</v>
      </c>
      <c r="R27" s="84" t="s">
        <v>97</v>
      </c>
      <c r="S27" s="84" t="s">
        <v>112</v>
      </c>
      <c r="T27" s="84" t="s">
        <v>67</v>
      </c>
      <c r="U27" s="84" t="s">
        <v>99</v>
      </c>
      <c r="V27" s="84" t="s">
        <v>60</v>
      </c>
      <c r="W27" s="84" t="s">
        <v>100</v>
      </c>
      <c r="X27" s="84" t="s">
        <v>96</v>
      </c>
      <c r="Y27" s="84" t="s">
        <v>101</v>
      </c>
      <c r="Z27" s="84" t="s">
        <v>114</v>
      </c>
      <c r="AA27" s="84" t="s">
        <v>103</v>
      </c>
      <c r="AB27" s="84" t="s">
        <v>111</v>
      </c>
    </row>
    <row r="28" spans="1:28">
      <c r="A28">
        <v>27</v>
      </c>
      <c r="B28" s="84" t="s">
        <v>54</v>
      </c>
      <c r="C28" s="84">
        <v>26</v>
      </c>
      <c r="D28" s="84" t="str">
        <f t="shared" si="1"/>
        <v>Adults</v>
      </c>
      <c r="E28" s="84" t="str">
        <f>IF(Table1[[#This Row],[Avenue]]="Equity","High Risk",IF(Table1[[#This Row],[Avenue]]="Mutual Fund","Medium Risk","Low Risk"))</f>
        <v>Medium Risk</v>
      </c>
      <c r="F28" s="84" t="str">
        <f t="shared" si="0"/>
        <v>Balanced Investor</v>
      </c>
      <c r="G28" s="84" t="s">
        <v>94</v>
      </c>
      <c r="H28" s="84">
        <v>3</v>
      </c>
      <c r="I28" s="84">
        <v>4</v>
      </c>
      <c r="J28" s="84">
        <v>6</v>
      </c>
      <c r="K28" s="84">
        <v>5</v>
      </c>
      <c r="L28" s="84">
        <v>1</v>
      </c>
      <c r="M28" s="84">
        <v>2</v>
      </c>
      <c r="N28" s="84">
        <v>7</v>
      </c>
      <c r="O28" s="84" t="s">
        <v>94</v>
      </c>
      <c r="P28" s="84" t="s">
        <v>95</v>
      </c>
      <c r="Q28" s="84" t="s">
        <v>96</v>
      </c>
      <c r="R28" s="84" t="s">
        <v>97</v>
      </c>
      <c r="S28" s="84" t="s">
        <v>112</v>
      </c>
      <c r="T28" s="84" t="s">
        <v>67</v>
      </c>
      <c r="U28" s="84" t="s">
        <v>99</v>
      </c>
      <c r="V28" s="84" t="s">
        <v>60</v>
      </c>
      <c r="W28" s="84" t="s">
        <v>100</v>
      </c>
      <c r="X28" s="84" t="s">
        <v>109</v>
      </c>
      <c r="Y28" s="84" t="s">
        <v>119</v>
      </c>
      <c r="Z28" s="84" t="s">
        <v>114</v>
      </c>
      <c r="AA28" s="84" t="s">
        <v>103</v>
      </c>
      <c r="AB28" s="84" t="s">
        <v>111</v>
      </c>
    </row>
    <row r="29" spans="1:28">
      <c r="A29">
        <v>28</v>
      </c>
      <c r="B29" s="84" t="s">
        <v>54</v>
      </c>
      <c r="C29" s="84">
        <v>31</v>
      </c>
      <c r="D29" s="84" t="str">
        <f t="shared" si="1"/>
        <v>Mature Adults</v>
      </c>
      <c r="E29" s="84" t="str">
        <f>IF(Table1[[#This Row],[Avenue]]="Equity","High Risk",IF(Table1[[#This Row],[Avenue]]="Mutual Fund","Medium Risk","Low Risk"))</f>
        <v>Low Risk</v>
      </c>
      <c r="F29" s="84" t="str">
        <f t="shared" si="0"/>
        <v>Conservative Investor</v>
      </c>
      <c r="G29" s="84" t="s">
        <v>94</v>
      </c>
      <c r="H29" s="84">
        <v>2</v>
      </c>
      <c r="I29" s="84">
        <v>3</v>
      </c>
      <c r="J29" s="84">
        <v>7</v>
      </c>
      <c r="K29" s="84">
        <v>6</v>
      </c>
      <c r="L29" s="84">
        <v>4</v>
      </c>
      <c r="M29" s="84">
        <v>1</v>
      </c>
      <c r="N29" s="84">
        <v>5</v>
      </c>
      <c r="O29" s="84" t="s">
        <v>94</v>
      </c>
      <c r="P29" s="84" t="s">
        <v>123</v>
      </c>
      <c r="Q29" s="84" t="s">
        <v>126</v>
      </c>
      <c r="R29" s="84" t="s">
        <v>127</v>
      </c>
      <c r="S29" s="84" t="s">
        <v>98</v>
      </c>
      <c r="T29" s="84" t="s">
        <v>67</v>
      </c>
      <c r="U29" s="84" t="s">
        <v>99</v>
      </c>
      <c r="V29" s="84" t="s">
        <v>59</v>
      </c>
      <c r="W29" s="84" t="s">
        <v>108</v>
      </c>
      <c r="X29" s="84" t="s">
        <v>96</v>
      </c>
      <c r="Y29" s="84" t="s">
        <v>119</v>
      </c>
      <c r="Z29" s="84" t="s">
        <v>102</v>
      </c>
      <c r="AA29" s="84" t="s">
        <v>103</v>
      </c>
      <c r="AB29" s="84" t="s">
        <v>115</v>
      </c>
    </row>
    <row r="30" spans="1:28">
      <c r="A30">
        <v>29</v>
      </c>
      <c r="B30" s="84" t="s">
        <v>54</v>
      </c>
      <c r="C30" s="84">
        <v>29</v>
      </c>
      <c r="D30" s="84" t="str">
        <f t="shared" si="1"/>
        <v>Adults</v>
      </c>
      <c r="E30" s="84" t="str">
        <f>IF(Table1[[#This Row],[Avenue]]="Equity","High Risk",IF(Table1[[#This Row],[Avenue]]="Mutual Fund","Medium Risk","Low Risk"))</f>
        <v>High Risk</v>
      </c>
      <c r="F30" s="84" t="str">
        <f t="shared" si="0"/>
        <v>Aggressive Investor</v>
      </c>
      <c r="G30" s="84" t="s">
        <v>94</v>
      </c>
      <c r="H30" s="84">
        <v>2</v>
      </c>
      <c r="I30" s="84">
        <v>3</v>
      </c>
      <c r="J30" s="84">
        <v>6</v>
      </c>
      <c r="K30" s="84">
        <v>5</v>
      </c>
      <c r="L30" s="84">
        <v>1</v>
      </c>
      <c r="M30" s="84">
        <v>4</v>
      </c>
      <c r="N30" s="84">
        <v>7</v>
      </c>
      <c r="O30" s="84" t="s">
        <v>94</v>
      </c>
      <c r="P30" s="84" t="s">
        <v>95</v>
      </c>
      <c r="Q30" s="84" t="s">
        <v>96</v>
      </c>
      <c r="R30" s="84" t="s">
        <v>97</v>
      </c>
      <c r="S30" s="84" t="s">
        <v>98</v>
      </c>
      <c r="T30" s="84" t="s">
        <v>67</v>
      </c>
      <c r="U30" s="84" t="s">
        <v>99</v>
      </c>
      <c r="V30" s="84" t="s">
        <v>58</v>
      </c>
      <c r="W30" s="84" t="s">
        <v>100</v>
      </c>
      <c r="X30" s="84" t="s">
        <v>96</v>
      </c>
      <c r="Y30" s="84" t="s">
        <v>101</v>
      </c>
      <c r="Z30" s="84" t="s">
        <v>114</v>
      </c>
      <c r="AA30" s="84" t="s">
        <v>122</v>
      </c>
      <c r="AB30" s="84" t="s">
        <v>115</v>
      </c>
    </row>
    <row r="31" spans="1:28">
      <c r="A31">
        <v>30</v>
      </c>
      <c r="B31" s="84" t="s">
        <v>53</v>
      </c>
      <c r="C31" s="84">
        <v>34</v>
      </c>
      <c r="D31" s="84" t="str">
        <f t="shared" si="1"/>
        <v>Mature Adults</v>
      </c>
      <c r="E31" s="84" t="str">
        <f>IF(Table1[[#This Row],[Avenue]]="Equity","High Risk",IF(Table1[[#This Row],[Avenue]]="Mutual Fund","Medium Risk","Low Risk"))</f>
        <v>Medium Risk</v>
      </c>
      <c r="F31" s="84" t="str">
        <f t="shared" si="0"/>
        <v>Balanced Investor</v>
      </c>
      <c r="G31" s="84" t="s">
        <v>94</v>
      </c>
      <c r="H31" s="84">
        <v>5</v>
      </c>
      <c r="I31" s="84">
        <v>4</v>
      </c>
      <c r="J31" s="84">
        <v>3</v>
      </c>
      <c r="K31" s="84">
        <v>2</v>
      </c>
      <c r="L31" s="84">
        <v>7</v>
      </c>
      <c r="M31" s="84">
        <v>1</v>
      </c>
      <c r="N31" s="84">
        <v>6</v>
      </c>
      <c r="O31" s="84" t="s">
        <v>94</v>
      </c>
      <c r="P31" s="84" t="s">
        <v>95</v>
      </c>
      <c r="Q31" s="84" t="s">
        <v>116</v>
      </c>
      <c r="R31" s="84" t="s">
        <v>95</v>
      </c>
      <c r="S31" s="84" t="s">
        <v>112</v>
      </c>
      <c r="T31" s="84" t="s">
        <v>67</v>
      </c>
      <c r="U31" s="84" t="s">
        <v>118</v>
      </c>
      <c r="V31" s="84" t="s">
        <v>60</v>
      </c>
      <c r="W31" s="84" t="s">
        <v>100</v>
      </c>
      <c r="X31" s="84" t="s">
        <v>96</v>
      </c>
      <c r="Y31" s="84" t="s">
        <v>113</v>
      </c>
      <c r="Z31" s="84" t="s">
        <v>102</v>
      </c>
      <c r="AA31" s="84" t="s">
        <v>103</v>
      </c>
      <c r="AB31" s="84" t="s">
        <v>104</v>
      </c>
    </row>
    <row r="32" spans="1:28">
      <c r="A32">
        <v>31</v>
      </c>
      <c r="B32" s="84" t="s">
        <v>54</v>
      </c>
      <c r="C32" s="84">
        <v>27</v>
      </c>
      <c r="D32" s="84" t="str">
        <f t="shared" si="1"/>
        <v>Adults</v>
      </c>
      <c r="E32" s="84" t="str">
        <f>IF(Table1[[#This Row],[Avenue]]="Equity","High Risk",IF(Table1[[#This Row],[Avenue]]="Mutual Fund","Medium Risk","Low Risk"))</f>
        <v>Medium Risk</v>
      </c>
      <c r="F32" s="84" t="str">
        <f t="shared" si="0"/>
        <v>Balanced Investor</v>
      </c>
      <c r="G32" s="84" t="s">
        <v>94</v>
      </c>
      <c r="H32" s="84">
        <v>4</v>
      </c>
      <c r="I32" s="84">
        <v>5</v>
      </c>
      <c r="J32" s="84">
        <v>1</v>
      </c>
      <c r="K32" s="84">
        <v>2</v>
      </c>
      <c r="L32" s="84">
        <v>7</v>
      </c>
      <c r="M32" s="84">
        <v>3</v>
      </c>
      <c r="N32" s="84">
        <v>6</v>
      </c>
      <c r="O32" s="84" t="s">
        <v>105</v>
      </c>
      <c r="P32" s="84" t="s">
        <v>95</v>
      </c>
      <c r="Q32" s="84" t="s">
        <v>126</v>
      </c>
      <c r="R32" s="84" t="s">
        <v>97</v>
      </c>
      <c r="S32" s="84" t="s">
        <v>98</v>
      </c>
      <c r="T32" s="84" t="s">
        <v>67</v>
      </c>
      <c r="U32" s="84" t="s">
        <v>118</v>
      </c>
      <c r="V32" s="84" t="s">
        <v>60</v>
      </c>
      <c r="W32" s="84" t="s">
        <v>128</v>
      </c>
      <c r="X32" s="84" t="s">
        <v>96</v>
      </c>
      <c r="Y32" s="84" t="s">
        <v>113</v>
      </c>
      <c r="Z32" s="84" t="s">
        <v>102</v>
      </c>
      <c r="AA32" s="84" t="s">
        <v>103</v>
      </c>
      <c r="AB32" s="84" t="s">
        <v>115</v>
      </c>
    </row>
    <row r="33" spans="1:28">
      <c r="A33">
        <v>32</v>
      </c>
      <c r="B33" s="84" t="s">
        <v>53</v>
      </c>
      <c r="C33" s="84">
        <v>31</v>
      </c>
      <c r="D33" s="84" t="str">
        <f t="shared" si="1"/>
        <v>Mature Adults</v>
      </c>
      <c r="E33" s="84" t="str">
        <f>IF(Table1[[#This Row],[Avenue]]="Equity","High Risk",IF(Table1[[#This Row],[Avenue]]="Mutual Fund","Medium Risk","Low Risk"))</f>
        <v>Low Risk</v>
      </c>
      <c r="F33" s="84" t="str">
        <f t="shared" si="0"/>
        <v>Conservative Investor</v>
      </c>
      <c r="G33" s="84" t="s">
        <v>94</v>
      </c>
      <c r="H33" s="84">
        <v>2</v>
      </c>
      <c r="I33" s="84">
        <v>4</v>
      </c>
      <c r="J33" s="84">
        <v>7</v>
      </c>
      <c r="K33" s="84">
        <v>6</v>
      </c>
      <c r="L33" s="84">
        <v>3</v>
      </c>
      <c r="M33" s="84">
        <v>1</v>
      </c>
      <c r="N33" s="84">
        <v>5</v>
      </c>
      <c r="O33" s="84" t="s">
        <v>94</v>
      </c>
      <c r="P33" s="84" t="s">
        <v>95</v>
      </c>
      <c r="Q33" s="84" t="s">
        <v>96</v>
      </c>
      <c r="R33" s="84" t="s">
        <v>97</v>
      </c>
      <c r="S33" s="84" t="s">
        <v>112</v>
      </c>
      <c r="T33" s="84" t="s">
        <v>67</v>
      </c>
      <c r="U33" s="84" t="s">
        <v>99</v>
      </c>
      <c r="V33" s="84" t="s">
        <v>59</v>
      </c>
      <c r="W33" s="84" t="s">
        <v>100</v>
      </c>
      <c r="X33" s="84" t="s">
        <v>96</v>
      </c>
      <c r="Y33" s="84" t="s">
        <v>101</v>
      </c>
      <c r="Z33" s="84" t="s">
        <v>114</v>
      </c>
      <c r="AA33" s="84" t="s">
        <v>103</v>
      </c>
      <c r="AB33" s="84" t="s">
        <v>111</v>
      </c>
    </row>
    <row r="34" spans="1:28">
      <c r="A34">
        <v>33</v>
      </c>
      <c r="B34" s="84" t="s">
        <v>54</v>
      </c>
      <c r="C34" s="84">
        <v>27</v>
      </c>
      <c r="D34" s="84" t="str">
        <f t="shared" si="1"/>
        <v>Adults</v>
      </c>
      <c r="E34" s="84" t="str">
        <f>IF(Table1[[#This Row],[Avenue]]="Equity","High Risk",IF(Table1[[#This Row],[Avenue]]="Mutual Fund","Medium Risk","Low Risk"))</f>
        <v>High Risk</v>
      </c>
      <c r="F34" s="84" t="str">
        <f t="shared" si="0"/>
        <v>Aggressive Investor</v>
      </c>
      <c r="G34" s="84" t="s">
        <v>94</v>
      </c>
      <c r="H34" s="84">
        <v>2</v>
      </c>
      <c r="I34" s="84">
        <v>4</v>
      </c>
      <c r="J34" s="84">
        <v>7</v>
      </c>
      <c r="K34" s="84">
        <v>5</v>
      </c>
      <c r="L34" s="84">
        <v>1</v>
      </c>
      <c r="M34" s="84">
        <v>3</v>
      </c>
      <c r="N34" s="84">
        <v>6</v>
      </c>
      <c r="O34" s="84" t="s">
        <v>94</v>
      </c>
      <c r="P34" s="84" t="s">
        <v>95</v>
      </c>
      <c r="Q34" s="84" t="s">
        <v>96</v>
      </c>
      <c r="R34" s="84" t="s">
        <v>97</v>
      </c>
      <c r="S34" s="84" t="s">
        <v>112</v>
      </c>
      <c r="T34" s="84" t="s">
        <v>67</v>
      </c>
      <c r="U34" s="84" t="s">
        <v>124</v>
      </c>
      <c r="V34" s="84" t="s">
        <v>58</v>
      </c>
      <c r="W34" s="84" t="s">
        <v>108</v>
      </c>
      <c r="X34" s="84" t="s">
        <v>96</v>
      </c>
      <c r="Y34" s="84" t="s">
        <v>119</v>
      </c>
      <c r="Z34" s="84" t="s">
        <v>114</v>
      </c>
      <c r="AA34" s="84" t="s">
        <v>103</v>
      </c>
      <c r="AB34" s="84" t="s">
        <v>104</v>
      </c>
    </row>
    <row r="35" spans="1:28">
      <c r="A35">
        <v>34</v>
      </c>
      <c r="B35" s="84" t="s">
        <v>54</v>
      </c>
      <c r="C35" s="84">
        <v>26</v>
      </c>
      <c r="D35" s="84" t="str">
        <f t="shared" si="1"/>
        <v>Adults</v>
      </c>
      <c r="E35" s="84" t="str">
        <f>IF(Table1[[#This Row],[Avenue]]="Equity","High Risk",IF(Table1[[#This Row],[Avenue]]="Mutual Fund","Medium Risk","Low Risk"))</f>
        <v>Low Risk</v>
      </c>
      <c r="F35" s="84" t="str">
        <f t="shared" si="0"/>
        <v>Conservative Investor</v>
      </c>
      <c r="G35" s="84" t="s">
        <v>94</v>
      </c>
      <c r="H35" s="84">
        <v>2</v>
      </c>
      <c r="I35" s="84">
        <v>3</v>
      </c>
      <c r="J35" s="84">
        <v>6</v>
      </c>
      <c r="K35" s="84">
        <v>4</v>
      </c>
      <c r="L35" s="84">
        <v>1</v>
      </c>
      <c r="M35" s="84">
        <v>5</v>
      </c>
      <c r="N35" s="84">
        <v>7</v>
      </c>
      <c r="O35" s="84" t="s">
        <v>94</v>
      </c>
      <c r="P35" s="84" t="s">
        <v>95</v>
      </c>
      <c r="Q35" s="84" t="s">
        <v>96</v>
      </c>
      <c r="R35" s="84" t="s">
        <v>95</v>
      </c>
      <c r="S35" s="84" t="s">
        <v>98</v>
      </c>
      <c r="T35" s="84" t="s">
        <v>67</v>
      </c>
      <c r="U35" s="84" t="s">
        <v>99</v>
      </c>
      <c r="V35" s="84" t="s">
        <v>59</v>
      </c>
      <c r="W35" s="84" t="s">
        <v>128</v>
      </c>
      <c r="X35" s="84" t="s">
        <v>109</v>
      </c>
      <c r="Y35" s="84" t="s">
        <v>101</v>
      </c>
      <c r="Z35" s="84" t="s">
        <v>102</v>
      </c>
      <c r="AA35" s="84" t="s">
        <v>122</v>
      </c>
      <c r="AB35" s="84" t="s">
        <v>104</v>
      </c>
    </row>
    <row r="36" spans="1:28">
      <c r="A36">
        <v>35</v>
      </c>
      <c r="B36" s="84" t="s">
        <v>54</v>
      </c>
      <c r="C36" s="84">
        <v>27</v>
      </c>
      <c r="D36" s="84" t="str">
        <f t="shared" si="1"/>
        <v>Adults</v>
      </c>
      <c r="E36" s="84" t="str">
        <f>IF(Table1[[#This Row],[Avenue]]="Equity","High Risk",IF(Table1[[#This Row],[Avenue]]="Mutual Fund","Medium Risk","Low Risk"))</f>
        <v>Medium Risk</v>
      </c>
      <c r="F36" s="84" t="str">
        <f t="shared" si="0"/>
        <v>Balanced Investor</v>
      </c>
      <c r="G36" s="84" t="s">
        <v>94</v>
      </c>
      <c r="H36" s="84">
        <v>2</v>
      </c>
      <c r="I36" s="84">
        <v>3</v>
      </c>
      <c r="J36" s="84">
        <v>6</v>
      </c>
      <c r="K36" s="84">
        <v>5</v>
      </c>
      <c r="L36" s="84">
        <v>4</v>
      </c>
      <c r="M36" s="84">
        <v>1</v>
      </c>
      <c r="N36" s="84">
        <v>7</v>
      </c>
      <c r="O36" s="84" t="s">
        <v>94</v>
      </c>
      <c r="P36" s="84" t="s">
        <v>95</v>
      </c>
      <c r="Q36" s="84" t="s">
        <v>96</v>
      </c>
      <c r="R36" s="84" t="s">
        <v>97</v>
      </c>
      <c r="S36" s="84" t="s">
        <v>98</v>
      </c>
      <c r="T36" s="84" t="s">
        <v>68</v>
      </c>
      <c r="U36" s="84" t="s">
        <v>99</v>
      </c>
      <c r="V36" s="84" t="s">
        <v>60</v>
      </c>
      <c r="W36" s="84" t="s">
        <v>108</v>
      </c>
      <c r="X36" s="84" t="s">
        <v>96</v>
      </c>
      <c r="Y36" s="84" t="s">
        <v>101</v>
      </c>
      <c r="Z36" s="84" t="s">
        <v>102</v>
      </c>
      <c r="AA36" s="84" t="s">
        <v>103</v>
      </c>
      <c r="AB36" s="84" t="s">
        <v>111</v>
      </c>
    </row>
    <row r="37" spans="1:28">
      <c r="A37">
        <v>36</v>
      </c>
      <c r="B37" s="84" t="s">
        <v>54</v>
      </c>
      <c r="C37" s="84">
        <v>30</v>
      </c>
      <c r="D37" s="84" t="str">
        <f t="shared" si="1"/>
        <v>Adults</v>
      </c>
      <c r="E37" s="84" t="str">
        <f>IF(Table1[[#This Row],[Avenue]]="Equity","High Risk",IF(Table1[[#This Row],[Avenue]]="Mutual Fund","Medium Risk","Low Risk"))</f>
        <v>Low Risk</v>
      </c>
      <c r="F37" s="84" t="str">
        <f t="shared" si="0"/>
        <v>Conservative Investor</v>
      </c>
      <c r="G37" s="84" t="s">
        <v>94</v>
      </c>
      <c r="H37" s="84">
        <v>1</v>
      </c>
      <c r="I37" s="84">
        <v>4</v>
      </c>
      <c r="J37" s="84">
        <v>6</v>
      </c>
      <c r="K37" s="84">
        <v>5</v>
      </c>
      <c r="L37" s="84">
        <v>3</v>
      </c>
      <c r="M37" s="84">
        <v>2</v>
      </c>
      <c r="N37" s="84">
        <v>7</v>
      </c>
      <c r="O37" s="84" t="s">
        <v>94</v>
      </c>
      <c r="P37" s="84" t="s">
        <v>123</v>
      </c>
      <c r="Q37" s="84" t="s">
        <v>126</v>
      </c>
      <c r="R37" s="84" t="s">
        <v>97</v>
      </c>
      <c r="S37" s="84" t="s">
        <v>112</v>
      </c>
      <c r="T37" s="84" t="s">
        <v>67</v>
      </c>
      <c r="U37" s="84" t="s">
        <v>99</v>
      </c>
      <c r="V37" s="84" t="s">
        <v>59</v>
      </c>
      <c r="W37" s="84" t="s">
        <v>108</v>
      </c>
      <c r="X37" s="84" t="s">
        <v>96</v>
      </c>
      <c r="Y37" s="84" t="s">
        <v>101</v>
      </c>
      <c r="Z37" s="84" t="s">
        <v>114</v>
      </c>
      <c r="AA37" s="84" t="s">
        <v>103</v>
      </c>
      <c r="AB37" s="84" t="s">
        <v>111</v>
      </c>
    </row>
    <row r="38" spans="1:28">
      <c r="A38">
        <v>37</v>
      </c>
      <c r="B38" s="84" t="s">
        <v>54</v>
      </c>
      <c r="C38" s="84">
        <v>30</v>
      </c>
      <c r="D38" s="84" t="str">
        <f t="shared" si="1"/>
        <v>Adults</v>
      </c>
      <c r="E38" s="84" t="str">
        <f>IF(Table1[[#This Row],[Avenue]]="Equity","High Risk",IF(Table1[[#This Row],[Avenue]]="Mutual Fund","Medium Risk","Low Risk"))</f>
        <v>High Risk</v>
      </c>
      <c r="F38" s="84" t="str">
        <f t="shared" si="0"/>
        <v>Aggressive Investor</v>
      </c>
      <c r="G38" s="84" t="s">
        <v>94</v>
      </c>
      <c r="H38" s="84">
        <v>2</v>
      </c>
      <c r="I38" s="84">
        <v>4</v>
      </c>
      <c r="J38" s="84">
        <v>7</v>
      </c>
      <c r="K38" s="84">
        <v>5</v>
      </c>
      <c r="L38" s="84">
        <v>1</v>
      </c>
      <c r="M38" s="84">
        <v>3</v>
      </c>
      <c r="N38" s="84">
        <v>6</v>
      </c>
      <c r="O38" s="84" t="s">
        <v>94</v>
      </c>
      <c r="P38" s="84" t="s">
        <v>95</v>
      </c>
      <c r="Q38" s="84" t="s">
        <v>96</v>
      </c>
      <c r="R38" s="84" t="s">
        <v>97</v>
      </c>
      <c r="S38" s="84" t="s">
        <v>98</v>
      </c>
      <c r="T38" s="84" t="s">
        <v>67</v>
      </c>
      <c r="U38" s="84" t="s">
        <v>99</v>
      </c>
      <c r="V38" s="84" t="s">
        <v>58</v>
      </c>
      <c r="W38" s="84" t="s">
        <v>100</v>
      </c>
      <c r="X38" s="84" t="s">
        <v>96</v>
      </c>
      <c r="Y38" s="84" t="s">
        <v>101</v>
      </c>
      <c r="Z38" s="84" t="s">
        <v>114</v>
      </c>
      <c r="AA38" s="84" t="s">
        <v>122</v>
      </c>
      <c r="AB38" s="84" t="s">
        <v>104</v>
      </c>
    </row>
    <row r="39" spans="1:28">
      <c r="A39">
        <v>38</v>
      </c>
      <c r="B39" s="84" t="s">
        <v>54</v>
      </c>
      <c r="C39" s="84">
        <v>25</v>
      </c>
      <c r="D39" s="84" t="str">
        <f t="shared" si="1"/>
        <v>Young Adult</v>
      </c>
      <c r="E39" s="84" t="str">
        <f>IF(Table1[[#This Row],[Avenue]]="Equity","High Risk",IF(Table1[[#This Row],[Avenue]]="Mutual Fund","Medium Risk","Low Risk"))</f>
        <v>Low Risk</v>
      </c>
      <c r="F39" s="84" t="str">
        <f t="shared" si="0"/>
        <v>Conservative Investor</v>
      </c>
      <c r="G39" s="84" t="s">
        <v>94</v>
      </c>
      <c r="H39" s="84">
        <v>5</v>
      </c>
      <c r="I39" s="84">
        <v>4</v>
      </c>
      <c r="J39" s="84">
        <v>7</v>
      </c>
      <c r="K39" s="84">
        <v>6</v>
      </c>
      <c r="L39" s="84">
        <v>1</v>
      </c>
      <c r="M39" s="84">
        <v>2</v>
      </c>
      <c r="N39" s="84">
        <v>3</v>
      </c>
      <c r="O39" s="84" t="s">
        <v>94</v>
      </c>
      <c r="P39" s="84" t="s">
        <v>123</v>
      </c>
      <c r="Q39" s="84" t="s">
        <v>126</v>
      </c>
      <c r="R39" s="84" t="s">
        <v>127</v>
      </c>
      <c r="S39" s="84" t="s">
        <v>112</v>
      </c>
      <c r="T39" s="84" t="s">
        <v>67</v>
      </c>
      <c r="U39" s="84" t="s">
        <v>124</v>
      </c>
      <c r="V39" s="84" t="s">
        <v>61</v>
      </c>
      <c r="W39" s="84" t="s">
        <v>108</v>
      </c>
      <c r="X39" s="84" t="s">
        <v>96</v>
      </c>
      <c r="Y39" s="84" t="s">
        <v>101</v>
      </c>
      <c r="Z39" s="84" t="s">
        <v>102</v>
      </c>
      <c r="AA39" s="84" t="s">
        <v>103</v>
      </c>
      <c r="AB39" s="84" t="s">
        <v>111</v>
      </c>
    </row>
    <row r="40" spans="1:28">
      <c r="A40">
        <v>39</v>
      </c>
      <c r="B40" s="84" t="s">
        <v>54</v>
      </c>
      <c r="C40" s="84">
        <v>31</v>
      </c>
      <c r="D40" s="84" t="str">
        <f t="shared" si="1"/>
        <v>Mature Adults</v>
      </c>
      <c r="E40" s="84" t="str">
        <f>IF(Table1[[#This Row],[Avenue]]="Equity","High Risk",IF(Table1[[#This Row],[Avenue]]="Mutual Fund","Medium Risk","Low Risk"))</f>
        <v>High Risk</v>
      </c>
      <c r="F40" s="84" t="str">
        <f t="shared" si="0"/>
        <v>Aggressive Investor</v>
      </c>
      <c r="G40" s="84" t="s">
        <v>94</v>
      </c>
      <c r="H40" s="84">
        <v>2</v>
      </c>
      <c r="I40" s="84">
        <v>4</v>
      </c>
      <c r="J40" s="84">
        <v>7</v>
      </c>
      <c r="K40" s="84">
        <v>5</v>
      </c>
      <c r="L40" s="84">
        <v>3</v>
      </c>
      <c r="M40" s="84">
        <v>1</v>
      </c>
      <c r="N40" s="84">
        <v>6</v>
      </c>
      <c r="O40" s="84" t="s">
        <v>94</v>
      </c>
      <c r="P40" s="84" t="s">
        <v>123</v>
      </c>
      <c r="Q40" s="84" t="s">
        <v>126</v>
      </c>
      <c r="R40" s="84" t="s">
        <v>97</v>
      </c>
      <c r="S40" s="84" t="s">
        <v>98</v>
      </c>
      <c r="T40" s="84" t="s">
        <v>68</v>
      </c>
      <c r="U40" s="84" t="s">
        <v>99</v>
      </c>
      <c r="V40" s="84" t="s">
        <v>58</v>
      </c>
      <c r="W40" s="84" t="s">
        <v>108</v>
      </c>
      <c r="X40" s="84" t="s">
        <v>109</v>
      </c>
      <c r="Y40" s="84" t="s">
        <v>119</v>
      </c>
      <c r="Z40" s="84" t="s">
        <v>114</v>
      </c>
      <c r="AA40" s="84" t="s">
        <v>103</v>
      </c>
      <c r="AB40" s="84" t="s">
        <v>104</v>
      </c>
    </row>
    <row r="41" spans="1:28">
      <c r="A41">
        <v>40</v>
      </c>
      <c r="B41" s="84" t="s">
        <v>54</v>
      </c>
      <c r="C41" s="84">
        <v>29</v>
      </c>
      <c r="D41" s="84" t="str">
        <f t="shared" si="1"/>
        <v>Adults</v>
      </c>
      <c r="E41" s="84" t="str">
        <f>IF(Table1[[#This Row],[Avenue]]="Equity","High Risk",IF(Table1[[#This Row],[Avenue]]="Mutual Fund","Medium Risk","Low Risk"))</f>
        <v>Low Risk</v>
      </c>
      <c r="F41" s="84" t="str">
        <f t="shared" si="0"/>
        <v>Conservative Investor</v>
      </c>
      <c r="G41" s="84" t="s">
        <v>94</v>
      </c>
      <c r="H41" s="84">
        <v>4</v>
      </c>
      <c r="I41" s="84">
        <v>3</v>
      </c>
      <c r="J41" s="84">
        <v>5</v>
      </c>
      <c r="K41" s="84">
        <v>7</v>
      </c>
      <c r="L41" s="84">
        <v>2</v>
      </c>
      <c r="M41" s="84">
        <v>1</v>
      </c>
      <c r="N41" s="84">
        <v>6</v>
      </c>
      <c r="O41" s="84" t="s">
        <v>94</v>
      </c>
      <c r="P41" s="84" t="s">
        <v>95</v>
      </c>
      <c r="Q41" s="84" t="s">
        <v>96</v>
      </c>
      <c r="R41" s="84" t="s">
        <v>97</v>
      </c>
      <c r="S41" s="84" t="s">
        <v>112</v>
      </c>
      <c r="T41" s="84" t="s">
        <v>67</v>
      </c>
      <c r="U41" s="84" t="s">
        <v>99</v>
      </c>
      <c r="V41" s="84" t="s">
        <v>59</v>
      </c>
      <c r="W41" s="84" t="s">
        <v>100</v>
      </c>
      <c r="X41" s="84" t="s">
        <v>109</v>
      </c>
      <c r="Y41" s="84" t="s">
        <v>101</v>
      </c>
      <c r="Z41" s="84" t="s">
        <v>102</v>
      </c>
      <c r="AA41" s="84" t="s">
        <v>103</v>
      </c>
      <c r="AB41" s="84" t="s">
        <v>111</v>
      </c>
    </row>
  </sheetData>
  <conditionalFormatting sqref="C1:D1048576 E1:F41">
    <cfRule type="cellIs" dxfId="43" priority="5" operator="greaterThan">
      <formula>50</formula>
    </cfRule>
  </conditionalFormatting>
  <conditionalFormatting sqref="U1:U41 S42:S1048576">
    <cfRule type="iconSet" priority="4">
      <iconSet>
        <cfvo type="percent" val="0"/>
        <cfvo type="percent" val="33"/>
        <cfvo type="percent" val="67"/>
      </iconSet>
    </cfRule>
  </conditionalFormatting>
  <conditionalFormatting sqref="S42:S1048576 U1:U41">
    <cfRule type="containsText" dxfId="42" priority="3" operator="containsText" text="10%-20%">
      <formula>NOT(ISERROR(SEARCH("10%-20%",S1)))</formula>
    </cfRule>
  </conditionalFormatting>
  <conditionalFormatting sqref="S42:S1048576 U1:U41">
    <cfRule type="containsText" dxfId="41" priority="2" operator="containsText" text="20%-30%">
      <formula>NOT(ISERROR(SEARCH("20%-30%",S1)))</formula>
    </cfRule>
  </conditionalFormatting>
  <conditionalFormatting sqref="S42:S1048576 U1:U41">
    <cfRule type="containsText" dxfId="40" priority="1" operator="containsText" text="30%-40%">
      <formula>NOT(ISERROR(SEARCH("30%-40%",S1)))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A95BD-9290-4EB2-8147-93B19D0C7C72}">
  <dimension ref="B2:H71"/>
  <sheetViews>
    <sheetView workbookViewId="0">
      <selection activeCell="B64" sqref="B64"/>
    </sheetView>
  </sheetViews>
  <sheetFormatPr defaultRowHeight="15"/>
  <cols>
    <col min="2" max="2" width="79.85546875" bestFit="1" customWidth="1"/>
    <col min="3" max="3" width="35.28515625" bestFit="1" customWidth="1"/>
    <col min="4" max="4" width="22.28515625" bestFit="1" customWidth="1"/>
    <col min="5" max="5" width="14.140625" bestFit="1" customWidth="1"/>
    <col min="6" max="6" width="12.5703125" bestFit="1" customWidth="1"/>
    <col min="7" max="7" width="21" bestFit="1" customWidth="1"/>
    <col min="8" max="8" width="11.7109375" bestFit="1" customWidth="1"/>
  </cols>
  <sheetData>
    <row r="2" spans="2:5">
      <c r="B2" s="84" t="s">
        <v>129</v>
      </c>
      <c r="C2" s="112">
        <f>COUNT(Financial_data!A2:A41)</f>
        <v>40</v>
      </c>
    </row>
    <row r="5" spans="2:5">
      <c r="C5" s="111" t="s">
        <v>51</v>
      </c>
      <c r="D5" s="1" t="s">
        <v>130</v>
      </c>
    </row>
    <row r="6" spans="2:5">
      <c r="B6" s="84" t="s">
        <v>131</v>
      </c>
      <c r="C6" s="1" t="s">
        <v>53</v>
      </c>
      <c r="D6" s="1">
        <v>15</v>
      </c>
    </row>
    <row r="7" spans="2:5">
      <c r="C7" s="1" t="s">
        <v>54</v>
      </c>
      <c r="D7" s="1">
        <v>25</v>
      </c>
    </row>
    <row r="8" spans="2:5">
      <c r="C8" s="1" t="s">
        <v>56</v>
      </c>
      <c r="D8" s="1">
        <v>40</v>
      </c>
    </row>
    <row r="11" spans="2:5">
      <c r="B11" t="s">
        <v>132</v>
      </c>
      <c r="C11">
        <f>AVERAGE(Financial_data!C2:C41)</f>
        <v>27.8</v>
      </c>
    </row>
    <row r="14" spans="2:5">
      <c r="C14" s="111" t="s">
        <v>57</v>
      </c>
      <c r="D14" s="1" t="s">
        <v>130</v>
      </c>
      <c r="E14" s="97" t="s">
        <v>133</v>
      </c>
    </row>
    <row r="15" spans="2:5">
      <c r="B15" t="s">
        <v>134</v>
      </c>
      <c r="C15" s="1" t="s">
        <v>58</v>
      </c>
      <c r="D15" s="1">
        <v>10</v>
      </c>
    </row>
    <row r="16" spans="2:5">
      <c r="C16" s="1" t="s">
        <v>59</v>
      </c>
      <c r="D16" s="1">
        <v>9</v>
      </c>
    </row>
    <row r="17" spans="2:8">
      <c r="C17" s="1" t="s">
        <v>60</v>
      </c>
      <c r="D17" s="1">
        <v>18</v>
      </c>
    </row>
    <row r="18" spans="2:8">
      <c r="C18" s="1" t="s">
        <v>61</v>
      </c>
      <c r="D18" s="1">
        <v>3</v>
      </c>
    </row>
    <row r="19" spans="2:8">
      <c r="C19" s="1" t="s">
        <v>56</v>
      </c>
      <c r="D19" s="1">
        <v>40</v>
      </c>
    </row>
    <row r="21" spans="2:8">
      <c r="B21" t="s">
        <v>135</v>
      </c>
      <c r="C21" s="111" t="s">
        <v>57</v>
      </c>
      <c r="D21" s="1" t="s">
        <v>130</v>
      </c>
    </row>
    <row r="22" spans="2:8">
      <c r="C22" s="1" t="s">
        <v>58</v>
      </c>
      <c r="D22" s="1">
        <v>10</v>
      </c>
    </row>
    <row r="23" spans="2:8">
      <c r="C23" s="1" t="s">
        <v>59</v>
      </c>
      <c r="D23" s="1">
        <v>9</v>
      </c>
    </row>
    <row r="24" spans="2:8">
      <c r="C24" s="1" t="s">
        <v>60</v>
      </c>
      <c r="D24" s="1">
        <v>18</v>
      </c>
    </row>
    <row r="25" spans="2:8">
      <c r="C25" s="1" t="s">
        <v>61</v>
      </c>
      <c r="D25" s="1">
        <v>3</v>
      </c>
    </row>
    <row r="26" spans="2:8">
      <c r="C26" s="1" t="s">
        <v>56</v>
      </c>
      <c r="D26" s="1">
        <v>40</v>
      </c>
    </row>
    <row r="28" spans="2:8">
      <c r="B28" t="s">
        <v>136</v>
      </c>
      <c r="C28" s="85" t="s">
        <v>130</v>
      </c>
      <c r="D28" s="85" t="s">
        <v>57</v>
      </c>
    </row>
    <row r="29" spans="2:8">
      <c r="C29" s="85" t="s">
        <v>51</v>
      </c>
      <c r="D29" t="s">
        <v>58</v>
      </c>
      <c r="E29" t="s">
        <v>59</v>
      </c>
      <c r="F29" t="s">
        <v>60</v>
      </c>
      <c r="G29" t="s">
        <v>61</v>
      </c>
      <c r="H29" t="s">
        <v>56</v>
      </c>
    </row>
    <row r="30" spans="2:8">
      <c r="C30" t="s">
        <v>53</v>
      </c>
      <c r="D30">
        <v>3</v>
      </c>
      <c r="E30">
        <v>3</v>
      </c>
      <c r="F30">
        <v>8</v>
      </c>
      <c r="G30">
        <v>1</v>
      </c>
      <c r="H30">
        <v>15</v>
      </c>
    </row>
    <row r="31" spans="2:8">
      <c r="C31" t="s">
        <v>54</v>
      </c>
      <c r="D31">
        <v>7</v>
      </c>
      <c r="E31">
        <v>6</v>
      </c>
      <c r="F31">
        <v>10</v>
      </c>
      <c r="G31">
        <v>2</v>
      </c>
      <c r="H31">
        <v>25</v>
      </c>
    </row>
    <row r="32" spans="2:8">
      <c r="C32" t="s">
        <v>56</v>
      </c>
      <c r="D32">
        <v>10</v>
      </c>
      <c r="E32">
        <v>9</v>
      </c>
      <c r="F32">
        <v>18</v>
      </c>
      <c r="G32">
        <v>3</v>
      </c>
      <c r="H32">
        <v>40</v>
      </c>
    </row>
    <row r="38" spans="2:3">
      <c r="B38" t="s">
        <v>137</v>
      </c>
      <c r="C38" s="85" t="s">
        <v>88</v>
      </c>
    </row>
    <row r="39" spans="2:3">
      <c r="C39" t="s">
        <v>128</v>
      </c>
    </row>
    <row r="40" spans="2:3">
      <c r="C40" t="s">
        <v>108</v>
      </c>
    </row>
    <row r="41" spans="2:3">
      <c r="C41" t="s">
        <v>100</v>
      </c>
    </row>
    <row r="42" spans="2:3">
      <c r="C42" t="s">
        <v>56</v>
      </c>
    </row>
    <row r="48" spans="2:3">
      <c r="B48" t="s">
        <v>138</v>
      </c>
    </row>
    <row r="62" spans="2:5">
      <c r="B62" t="s">
        <v>139</v>
      </c>
      <c r="C62" s="113">
        <f>E63</f>
        <v>0.1</v>
      </c>
      <c r="D62" s="85" t="s">
        <v>65</v>
      </c>
      <c r="E62" s="86" t="s">
        <v>130</v>
      </c>
    </row>
    <row r="63" spans="2:5">
      <c r="D63" t="s">
        <v>66</v>
      </c>
      <c r="E63" s="86">
        <v>0.1</v>
      </c>
    </row>
    <row r="64" spans="2:5">
      <c r="D64" t="s">
        <v>67</v>
      </c>
      <c r="E64" s="86">
        <v>0.72499999999999998</v>
      </c>
    </row>
    <row r="65" spans="2:5">
      <c r="D65" t="s">
        <v>68</v>
      </c>
      <c r="E65" s="86">
        <v>0.17499999999999999</v>
      </c>
    </row>
    <row r="66" spans="2:5">
      <c r="D66" t="s">
        <v>56</v>
      </c>
      <c r="E66" s="43">
        <v>1</v>
      </c>
    </row>
    <row r="71" spans="2:5">
      <c r="B71" t="s">
        <v>140</v>
      </c>
      <c r="C71" t="s">
        <v>141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091C-BFE8-4A84-B521-E1D0C31FB016}">
  <dimension ref="B16:N136"/>
  <sheetViews>
    <sheetView workbookViewId="0">
      <selection activeCell="J12" sqref="J12"/>
    </sheetView>
  </sheetViews>
  <sheetFormatPr defaultRowHeight="15"/>
  <cols>
    <col min="8" max="9" width="22.28515625" bestFit="1" customWidth="1"/>
    <col min="10" max="10" width="11" bestFit="1" customWidth="1"/>
    <col min="11" max="11" width="14.140625" bestFit="1" customWidth="1"/>
    <col min="12" max="12" width="12.5703125" bestFit="1" customWidth="1"/>
    <col min="13" max="13" width="21" bestFit="1" customWidth="1"/>
    <col min="14" max="14" width="11.7109375" bestFit="1" customWidth="1"/>
  </cols>
  <sheetData>
    <row r="16" spans="2:9">
      <c r="B16" t="s">
        <v>142</v>
      </c>
      <c r="H16" s="85" t="s">
        <v>130</v>
      </c>
      <c r="I16" s="85" t="s">
        <v>57</v>
      </c>
    </row>
    <row r="17" spans="2:13">
      <c r="H17" s="85" t="s">
        <v>51</v>
      </c>
      <c r="I17" t="s">
        <v>58</v>
      </c>
      <c r="J17" t="s">
        <v>59</v>
      </c>
      <c r="K17" t="s">
        <v>60</v>
      </c>
      <c r="L17" t="s">
        <v>61</v>
      </c>
      <c r="M17" t="s">
        <v>56</v>
      </c>
    </row>
    <row r="18" spans="2:13">
      <c r="H18" t="s">
        <v>53</v>
      </c>
      <c r="I18">
        <v>3</v>
      </c>
      <c r="J18">
        <v>3</v>
      </c>
      <c r="K18">
        <v>8</v>
      </c>
      <c r="L18">
        <v>1</v>
      </c>
      <c r="M18">
        <v>15</v>
      </c>
    </row>
    <row r="19" spans="2:13">
      <c r="H19" t="s">
        <v>54</v>
      </c>
      <c r="I19">
        <v>7</v>
      </c>
      <c r="J19">
        <v>6</v>
      </c>
      <c r="K19">
        <v>10</v>
      </c>
      <c r="L19">
        <v>2</v>
      </c>
      <c r="M19">
        <v>25</v>
      </c>
    </row>
    <row r="20" spans="2:13">
      <c r="H20" t="s">
        <v>56</v>
      </c>
      <c r="I20">
        <v>10</v>
      </c>
      <c r="J20">
        <v>9</v>
      </c>
      <c r="K20">
        <v>18</v>
      </c>
      <c r="L20">
        <v>3</v>
      </c>
      <c r="M20">
        <v>40</v>
      </c>
    </row>
    <row r="27" spans="2:13">
      <c r="B27" t="s">
        <v>143</v>
      </c>
      <c r="H27" s="85" t="s">
        <v>71</v>
      </c>
      <c r="I27" s="85" t="s">
        <v>57</v>
      </c>
      <c r="J27" t="s">
        <v>130</v>
      </c>
    </row>
    <row r="28" spans="2:13">
      <c r="H28" t="s">
        <v>144</v>
      </c>
      <c r="I28" t="s">
        <v>58</v>
      </c>
      <c r="J28">
        <v>5</v>
      </c>
    </row>
    <row r="29" spans="2:13">
      <c r="I29" t="s">
        <v>59</v>
      </c>
      <c r="J29">
        <v>5</v>
      </c>
    </row>
    <row r="30" spans="2:13">
      <c r="I30" t="s">
        <v>60</v>
      </c>
      <c r="J30">
        <v>10</v>
      </c>
    </row>
    <row r="31" spans="2:13">
      <c r="I31" t="s">
        <v>61</v>
      </c>
      <c r="J31">
        <v>1</v>
      </c>
    </row>
    <row r="32" spans="2:13">
      <c r="H32" t="s">
        <v>145</v>
      </c>
      <c r="J32">
        <v>21</v>
      </c>
    </row>
    <row r="33" spans="2:11">
      <c r="H33" t="s">
        <v>146</v>
      </c>
      <c r="I33" t="s">
        <v>58</v>
      </c>
      <c r="J33">
        <v>2</v>
      </c>
    </row>
    <row r="34" spans="2:11">
      <c r="I34" t="s">
        <v>59</v>
      </c>
      <c r="J34">
        <v>3</v>
      </c>
    </row>
    <row r="35" spans="2:11">
      <c r="I35" t="s">
        <v>60</v>
      </c>
      <c r="J35">
        <v>4</v>
      </c>
    </row>
    <row r="36" spans="2:11">
      <c r="H36" t="s">
        <v>147</v>
      </c>
      <c r="J36">
        <v>9</v>
      </c>
    </row>
    <row r="37" spans="2:11">
      <c r="H37" t="s">
        <v>148</v>
      </c>
      <c r="I37" t="s">
        <v>58</v>
      </c>
      <c r="J37">
        <v>3</v>
      </c>
    </row>
    <row r="38" spans="2:11">
      <c r="I38" t="s">
        <v>59</v>
      </c>
      <c r="J38">
        <v>1</v>
      </c>
    </row>
    <row r="39" spans="2:11">
      <c r="I39" t="s">
        <v>60</v>
      </c>
      <c r="J39">
        <v>4</v>
      </c>
    </row>
    <row r="40" spans="2:11">
      <c r="I40" t="s">
        <v>61</v>
      </c>
      <c r="J40">
        <v>2</v>
      </c>
    </row>
    <row r="41" spans="2:11">
      <c r="H41" t="s">
        <v>149</v>
      </c>
      <c r="J41">
        <v>10</v>
      </c>
    </row>
    <row r="42" spans="2:11">
      <c r="H42" t="s">
        <v>56</v>
      </c>
      <c r="J42">
        <v>40</v>
      </c>
    </row>
    <row r="45" spans="2:11">
      <c r="B45" t="s">
        <v>150</v>
      </c>
      <c r="H45" s="85" t="s">
        <v>74</v>
      </c>
      <c r="I45" s="85" t="s">
        <v>57</v>
      </c>
      <c r="K45" t="s">
        <v>151</v>
      </c>
    </row>
    <row r="46" spans="2:11">
      <c r="H46" t="s">
        <v>105</v>
      </c>
      <c r="I46" t="s">
        <v>58</v>
      </c>
    </row>
    <row r="47" spans="2:11">
      <c r="I47" t="s">
        <v>60</v>
      </c>
    </row>
    <row r="48" spans="2:11">
      <c r="H48" t="s">
        <v>152</v>
      </c>
    </row>
    <row r="49" spans="2:9">
      <c r="H49" t="s">
        <v>94</v>
      </c>
      <c r="I49" t="s">
        <v>58</v>
      </c>
    </row>
    <row r="50" spans="2:9">
      <c r="I50" t="s">
        <v>59</v>
      </c>
    </row>
    <row r="51" spans="2:9">
      <c r="I51" t="s">
        <v>60</v>
      </c>
    </row>
    <row r="52" spans="2:9">
      <c r="I52" t="s">
        <v>61</v>
      </c>
    </row>
    <row r="53" spans="2:9">
      <c r="H53" t="s">
        <v>153</v>
      </c>
    </row>
    <row r="54" spans="2:9">
      <c r="H54" t="s">
        <v>56</v>
      </c>
    </row>
    <row r="56" spans="2:9">
      <c r="H56" t="s">
        <v>151</v>
      </c>
    </row>
    <row r="57" spans="2:9">
      <c r="H57" t="s">
        <v>154</v>
      </c>
      <c r="I57" s="43" t="s">
        <v>31</v>
      </c>
    </row>
    <row r="58" spans="2:9">
      <c r="H58" t="s">
        <v>59</v>
      </c>
      <c r="I58" s="43">
        <v>0.28292682926829266</v>
      </c>
    </row>
    <row r="59" spans="2:9">
      <c r="H59" t="s">
        <v>61</v>
      </c>
      <c r="I59" s="43">
        <v>0.10609756097560975</v>
      </c>
    </row>
    <row r="60" spans="2:9">
      <c r="H60" t="s">
        <v>155</v>
      </c>
      <c r="I60" s="43">
        <f>I58+I59</f>
        <v>0.3890243902439024</v>
      </c>
    </row>
    <row r="64" spans="2:9">
      <c r="B64" t="s">
        <v>156</v>
      </c>
      <c r="H64" s="85" t="s">
        <v>130</v>
      </c>
      <c r="I64" s="85" t="s">
        <v>57</v>
      </c>
    </row>
    <row r="65" spans="2:13">
      <c r="H65" s="85" t="s">
        <v>84</v>
      </c>
      <c r="I65" t="s">
        <v>58</v>
      </c>
      <c r="J65" t="s">
        <v>59</v>
      </c>
      <c r="K65" t="s">
        <v>60</v>
      </c>
      <c r="L65" t="s">
        <v>61</v>
      </c>
      <c r="M65" t="s">
        <v>56</v>
      </c>
    </row>
    <row r="66" spans="2:13">
      <c r="H66" t="s">
        <v>96</v>
      </c>
      <c r="I66">
        <v>6</v>
      </c>
      <c r="J66">
        <v>6</v>
      </c>
      <c r="K66">
        <v>13</v>
      </c>
      <c r="L66">
        <v>1</v>
      </c>
      <c r="M66">
        <v>26</v>
      </c>
    </row>
    <row r="67" spans="2:13">
      <c r="H67" t="s">
        <v>126</v>
      </c>
      <c r="I67">
        <v>2</v>
      </c>
      <c r="J67">
        <v>3</v>
      </c>
      <c r="K67">
        <v>4</v>
      </c>
      <c r="L67">
        <v>2</v>
      </c>
      <c r="M67">
        <v>11</v>
      </c>
    </row>
    <row r="68" spans="2:13">
      <c r="H68" t="s">
        <v>116</v>
      </c>
      <c r="I68">
        <v>2</v>
      </c>
      <c r="K68">
        <v>1</v>
      </c>
      <c r="M68">
        <v>3</v>
      </c>
    </row>
    <row r="69" spans="2:13">
      <c r="H69" t="s">
        <v>56</v>
      </c>
      <c r="I69">
        <v>10</v>
      </c>
      <c r="J69">
        <v>9</v>
      </c>
      <c r="K69">
        <v>18</v>
      </c>
      <c r="L69">
        <v>3</v>
      </c>
      <c r="M69">
        <v>40</v>
      </c>
    </row>
    <row r="72" spans="2:13">
      <c r="B72" t="s">
        <v>157</v>
      </c>
      <c r="H72">
        <f>'DashBoard Wiith Slicer'!A2</f>
        <v>0</v>
      </c>
    </row>
    <row r="74" spans="2:13">
      <c r="B74" t="s">
        <v>158</v>
      </c>
      <c r="H74" s="85" t="s">
        <v>86</v>
      </c>
      <c r="I74" s="85" t="s">
        <v>57</v>
      </c>
      <c r="J74" t="s">
        <v>159</v>
      </c>
    </row>
    <row r="75" spans="2:13">
      <c r="H75" t="s">
        <v>98</v>
      </c>
      <c r="I75" t="s">
        <v>58</v>
      </c>
      <c r="J75">
        <v>114</v>
      </c>
    </row>
    <row r="76" spans="2:13">
      <c r="I76" t="s">
        <v>59</v>
      </c>
      <c r="J76">
        <v>94</v>
      </c>
    </row>
    <row r="77" spans="2:13">
      <c r="I77" t="s">
        <v>60</v>
      </c>
      <c r="J77">
        <v>165</v>
      </c>
    </row>
    <row r="78" spans="2:13">
      <c r="H78" t="s">
        <v>160</v>
      </c>
      <c r="J78">
        <v>373</v>
      </c>
    </row>
    <row r="79" spans="2:13">
      <c r="H79" t="s">
        <v>112</v>
      </c>
      <c r="I79" t="s">
        <v>58</v>
      </c>
      <c r="J79">
        <v>65</v>
      </c>
    </row>
    <row r="80" spans="2:13">
      <c r="I80" t="s">
        <v>59</v>
      </c>
      <c r="J80">
        <v>138</v>
      </c>
    </row>
    <row r="81" spans="2:10">
      <c r="I81" t="s">
        <v>60</v>
      </c>
      <c r="J81">
        <v>146</v>
      </c>
    </row>
    <row r="82" spans="2:10">
      <c r="I82" t="s">
        <v>61</v>
      </c>
      <c r="J82">
        <v>87</v>
      </c>
    </row>
    <row r="83" spans="2:10">
      <c r="H83" t="s">
        <v>161</v>
      </c>
      <c r="J83">
        <v>436</v>
      </c>
    </row>
    <row r="84" spans="2:10">
      <c r="H84" t="s">
        <v>117</v>
      </c>
      <c r="I84" t="s">
        <v>58</v>
      </c>
      <c r="J84">
        <v>9</v>
      </c>
    </row>
    <row r="85" spans="2:10">
      <c r="H85" t="s">
        <v>162</v>
      </c>
      <c r="J85">
        <v>9</v>
      </c>
    </row>
    <row r="86" spans="2:10">
      <c r="H86" t="s">
        <v>107</v>
      </c>
      <c r="I86" t="s">
        <v>60</v>
      </c>
      <c r="J86">
        <v>2</v>
      </c>
    </row>
    <row r="87" spans="2:10">
      <c r="H87" t="s">
        <v>163</v>
      </c>
      <c r="J87">
        <v>2</v>
      </c>
    </row>
    <row r="88" spans="2:10">
      <c r="H88" t="s">
        <v>56</v>
      </c>
      <c r="J88">
        <v>820</v>
      </c>
    </row>
    <row r="91" spans="2:10">
      <c r="B91" t="s">
        <v>164</v>
      </c>
      <c r="H91" t="s">
        <v>165</v>
      </c>
    </row>
    <row r="93" spans="2:10">
      <c r="B93" t="s">
        <v>166</v>
      </c>
      <c r="H93" s="85" t="s">
        <v>71</v>
      </c>
      <c r="I93" s="85" t="s">
        <v>65</v>
      </c>
      <c r="J93" t="s">
        <v>167</v>
      </c>
    </row>
    <row r="94" spans="2:10">
      <c r="H94" t="s">
        <v>144</v>
      </c>
      <c r="I94" t="s">
        <v>66</v>
      </c>
      <c r="J94">
        <v>1</v>
      </c>
    </row>
    <row r="95" spans="2:10">
      <c r="I95" t="s">
        <v>67</v>
      </c>
      <c r="J95">
        <v>18</v>
      </c>
    </row>
    <row r="96" spans="2:10">
      <c r="I96" t="s">
        <v>68</v>
      </c>
      <c r="J96">
        <v>2</v>
      </c>
    </row>
    <row r="97" spans="2:12">
      <c r="H97" t="s">
        <v>145</v>
      </c>
      <c r="J97">
        <v>21</v>
      </c>
    </row>
    <row r="98" spans="2:12">
      <c r="H98" t="s">
        <v>146</v>
      </c>
      <c r="I98" t="s">
        <v>67</v>
      </c>
      <c r="J98">
        <v>7</v>
      </c>
    </row>
    <row r="99" spans="2:12">
      <c r="I99" t="s">
        <v>68</v>
      </c>
      <c r="J99">
        <v>2</v>
      </c>
    </row>
    <row r="100" spans="2:12">
      <c r="H100" t="s">
        <v>147</v>
      </c>
      <c r="J100">
        <v>9</v>
      </c>
    </row>
    <row r="101" spans="2:12">
      <c r="H101" t="s">
        <v>148</v>
      </c>
      <c r="I101" t="s">
        <v>66</v>
      </c>
      <c r="J101">
        <v>3</v>
      </c>
    </row>
    <row r="102" spans="2:12">
      <c r="I102" t="s">
        <v>67</v>
      </c>
      <c r="J102">
        <v>4</v>
      </c>
    </row>
    <row r="103" spans="2:12">
      <c r="I103" t="s">
        <v>68</v>
      </c>
      <c r="J103">
        <v>3</v>
      </c>
    </row>
    <row r="104" spans="2:12">
      <c r="H104" t="s">
        <v>149</v>
      </c>
      <c r="J104">
        <v>10</v>
      </c>
    </row>
    <row r="105" spans="2:12">
      <c r="H105" t="s">
        <v>56</v>
      </c>
      <c r="J105">
        <v>40</v>
      </c>
    </row>
    <row r="108" spans="2:12">
      <c r="B108" t="s">
        <v>168</v>
      </c>
      <c r="H108" s="85" t="s">
        <v>130</v>
      </c>
      <c r="J108" s="85" t="s">
        <v>57</v>
      </c>
    </row>
    <row r="109" spans="2:12">
      <c r="H109" s="85" t="s">
        <v>90</v>
      </c>
      <c r="I109" s="85" t="s">
        <v>89</v>
      </c>
      <c r="J109" t="s">
        <v>58</v>
      </c>
      <c r="K109" t="s">
        <v>60</v>
      </c>
      <c r="L109" t="s">
        <v>56</v>
      </c>
    </row>
    <row r="110" spans="2:12">
      <c r="H110" t="s">
        <v>101</v>
      </c>
      <c r="I110" t="s">
        <v>96</v>
      </c>
      <c r="J110">
        <v>5</v>
      </c>
      <c r="K110">
        <v>9</v>
      </c>
      <c r="L110">
        <v>14</v>
      </c>
    </row>
    <row r="111" spans="2:12">
      <c r="I111" t="s">
        <v>109</v>
      </c>
      <c r="K111">
        <v>2</v>
      </c>
      <c r="L111">
        <v>2</v>
      </c>
    </row>
    <row r="112" spans="2:12">
      <c r="H112" t="s">
        <v>169</v>
      </c>
      <c r="J112">
        <v>5</v>
      </c>
      <c r="K112">
        <v>11</v>
      </c>
      <c r="L112">
        <v>16</v>
      </c>
    </row>
    <row r="113" spans="2:14">
      <c r="H113" t="s">
        <v>119</v>
      </c>
      <c r="I113" t="s">
        <v>96</v>
      </c>
      <c r="J113">
        <v>2</v>
      </c>
      <c r="K113">
        <v>3</v>
      </c>
      <c r="L113">
        <v>5</v>
      </c>
    </row>
    <row r="114" spans="2:14">
      <c r="I114" t="s">
        <v>109</v>
      </c>
      <c r="J114">
        <v>2</v>
      </c>
      <c r="K114">
        <v>1</v>
      </c>
      <c r="L114">
        <v>3</v>
      </c>
    </row>
    <row r="115" spans="2:14">
      <c r="I115" t="s">
        <v>125</v>
      </c>
      <c r="K115">
        <v>1</v>
      </c>
      <c r="L115">
        <v>1</v>
      </c>
    </row>
    <row r="116" spans="2:14">
      <c r="H116" t="s">
        <v>170</v>
      </c>
      <c r="J116">
        <v>4</v>
      </c>
      <c r="K116">
        <v>5</v>
      </c>
      <c r="L116">
        <v>9</v>
      </c>
    </row>
    <row r="117" spans="2:14">
      <c r="H117" t="s">
        <v>113</v>
      </c>
      <c r="I117" t="s">
        <v>96</v>
      </c>
      <c r="J117">
        <v>1</v>
      </c>
      <c r="K117">
        <v>2</v>
      </c>
      <c r="L117">
        <v>3</v>
      </c>
    </row>
    <row r="118" spans="2:14">
      <c r="H118" t="s">
        <v>171</v>
      </c>
      <c r="J118">
        <v>1</v>
      </c>
      <c r="K118">
        <v>2</v>
      </c>
      <c r="L118">
        <v>3</v>
      </c>
    </row>
    <row r="119" spans="2:14">
      <c r="H119" t="s">
        <v>56</v>
      </c>
      <c r="J119">
        <v>10</v>
      </c>
      <c r="K119">
        <v>18</v>
      </c>
      <c r="L119">
        <v>28</v>
      </c>
    </row>
    <row r="127" spans="2:14">
      <c r="B127" t="s">
        <v>172</v>
      </c>
      <c r="I127" s="85" t="s">
        <v>130</v>
      </c>
      <c r="J127" s="85" t="s">
        <v>57</v>
      </c>
    </row>
    <row r="128" spans="2:14">
      <c r="I128" s="85" t="s">
        <v>84</v>
      </c>
      <c r="J128" t="s">
        <v>58</v>
      </c>
      <c r="K128" t="s">
        <v>59</v>
      </c>
      <c r="L128" t="s">
        <v>60</v>
      </c>
      <c r="M128" t="s">
        <v>61</v>
      </c>
      <c r="N128" t="s">
        <v>56</v>
      </c>
    </row>
    <row r="129" spans="2:14">
      <c r="I129" t="s">
        <v>96</v>
      </c>
      <c r="J129">
        <v>6</v>
      </c>
      <c r="K129">
        <v>6</v>
      </c>
      <c r="L129">
        <v>13</v>
      </c>
      <c r="M129">
        <v>1</v>
      </c>
      <c r="N129">
        <v>26</v>
      </c>
    </row>
    <row r="130" spans="2:14">
      <c r="I130" t="s">
        <v>126</v>
      </c>
      <c r="J130">
        <v>2</v>
      </c>
      <c r="K130">
        <v>3</v>
      </c>
      <c r="L130">
        <v>4</v>
      </c>
      <c r="M130">
        <v>2</v>
      </c>
      <c r="N130">
        <v>11</v>
      </c>
    </row>
    <row r="131" spans="2:14">
      <c r="I131" t="s">
        <v>116</v>
      </c>
      <c r="J131">
        <v>2</v>
      </c>
      <c r="L131">
        <v>1</v>
      </c>
      <c r="N131">
        <v>3</v>
      </c>
    </row>
    <row r="132" spans="2:14">
      <c r="I132" t="s">
        <v>56</v>
      </c>
      <c r="J132">
        <v>10</v>
      </c>
      <c r="K132">
        <v>9</v>
      </c>
      <c r="L132">
        <v>18</v>
      </c>
      <c r="M132">
        <v>3</v>
      </c>
      <c r="N132">
        <v>40</v>
      </c>
    </row>
    <row r="136" spans="2:14">
      <c r="B136" t="s">
        <v>173</v>
      </c>
    </row>
  </sheetData>
  <pageMargins left="0.7" right="0.7" top="0.75" bottom="0.75" header="0.3" footer="0.3"/>
  <drawing r:id="rId9"/>
  <tableParts count="1">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410E-4D88-4204-AE8C-D9EEE70620CB}">
  <dimension ref="B1:L57"/>
  <sheetViews>
    <sheetView showGridLines="0" workbookViewId="0">
      <selection activeCell="C53" sqref="C53"/>
    </sheetView>
  </sheetViews>
  <sheetFormatPr defaultRowHeight="15"/>
  <cols>
    <col min="2" max="2" width="11.7109375" bestFit="1" customWidth="1"/>
    <col min="3" max="3" width="22.28515625" bestFit="1" customWidth="1"/>
    <col min="4" max="4" width="21.28515625" customWidth="1"/>
    <col min="5" max="5" width="13.85546875" bestFit="1" customWidth="1"/>
    <col min="6" max="6" width="12.42578125" bestFit="1" customWidth="1"/>
    <col min="7" max="7" width="11.7109375" bestFit="1" customWidth="1"/>
    <col min="8" max="8" width="22.28515625" bestFit="1" customWidth="1"/>
    <col min="9" max="9" width="13.7109375" bestFit="1" customWidth="1"/>
    <col min="10" max="10" width="14.140625" bestFit="1" customWidth="1"/>
    <col min="11" max="11" width="12.140625" bestFit="1" customWidth="1"/>
    <col min="12" max="12" width="11.7109375" bestFit="1" customWidth="1"/>
    <col min="13" max="23" width="3.28515625" bestFit="1" customWidth="1"/>
    <col min="24" max="24" width="11.7109375" bestFit="1" customWidth="1"/>
    <col min="25" max="25" width="6.85546875" bestFit="1" customWidth="1"/>
    <col min="26" max="26" width="8.28515625" bestFit="1" customWidth="1"/>
    <col min="27" max="27" width="6.85546875" bestFit="1" customWidth="1"/>
    <col min="28" max="28" width="8.28515625" bestFit="1" customWidth="1"/>
    <col min="29" max="29" width="14.140625" bestFit="1" customWidth="1"/>
    <col min="30" max="30" width="8.28515625" bestFit="1" customWidth="1"/>
    <col min="31" max="31" width="14.140625" bestFit="1" customWidth="1"/>
    <col min="32" max="32" width="8.28515625" bestFit="1" customWidth="1"/>
    <col min="33" max="33" width="14.140625" bestFit="1" customWidth="1"/>
    <col min="34" max="34" width="8.28515625" bestFit="1" customWidth="1"/>
    <col min="35" max="35" width="14.140625" bestFit="1" customWidth="1"/>
    <col min="36" max="36" width="8.28515625" bestFit="1" customWidth="1"/>
    <col min="37" max="37" width="11.7109375" bestFit="1" customWidth="1"/>
  </cols>
  <sheetData>
    <row r="1" spans="5:5" ht="23.25">
      <c r="E1" s="96" t="s">
        <v>174</v>
      </c>
    </row>
    <row r="53" spans="2:12">
      <c r="B53" s="85" t="s">
        <v>51</v>
      </c>
      <c r="C53" t="s">
        <v>130</v>
      </c>
      <c r="E53" s="85" t="s">
        <v>71</v>
      </c>
      <c r="F53" t="s">
        <v>167</v>
      </c>
      <c r="H53" s="85" t="s">
        <v>130</v>
      </c>
      <c r="I53" s="85" t="s">
        <v>71</v>
      </c>
    </row>
    <row r="54" spans="2:12">
      <c r="B54" t="s">
        <v>53</v>
      </c>
      <c r="C54">
        <v>15</v>
      </c>
      <c r="E54" t="s">
        <v>144</v>
      </c>
      <c r="F54">
        <v>21</v>
      </c>
      <c r="H54" s="85" t="s">
        <v>51</v>
      </c>
      <c r="I54" t="s">
        <v>144</v>
      </c>
      <c r="J54" t="s">
        <v>146</v>
      </c>
      <c r="K54" t="s">
        <v>148</v>
      </c>
      <c r="L54" t="s">
        <v>56</v>
      </c>
    </row>
    <row r="55" spans="2:12">
      <c r="B55" t="s">
        <v>54</v>
      </c>
      <c r="C55">
        <v>25</v>
      </c>
      <c r="E55" t="s">
        <v>146</v>
      </c>
      <c r="F55">
        <v>9</v>
      </c>
      <c r="H55" t="s">
        <v>53</v>
      </c>
      <c r="I55">
        <v>4</v>
      </c>
      <c r="J55">
        <v>5</v>
      </c>
      <c r="K55">
        <v>6</v>
      </c>
      <c r="L55">
        <v>15</v>
      </c>
    </row>
    <row r="56" spans="2:12">
      <c r="B56" t="s">
        <v>56</v>
      </c>
      <c r="C56">
        <v>40</v>
      </c>
      <c r="E56" t="s">
        <v>148</v>
      </c>
      <c r="F56">
        <v>10</v>
      </c>
      <c r="H56" t="s">
        <v>54</v>
      </c>
      <c r="I56">
        <v>17</v>
      </c>
      <c r="J56">
        <v>4</v>
      </c>
      <c r="K56">
        <v>4</v>
      </c>
      <c r="L56">
        <v>25</v>
      </c>
    </row>
    <row r="57" spans="2:12">
      <c r="E57" t="s">
        <v>56</v>
      </c>
      <c r="F57">
        <v>40</v>
      </c>
      <c r="H57" t="s">
        <v>56</v>
      </c>
      <c r="I57">
        <v>21</v>
      </c>
      <c r="J57">
        <v>9</v>
      </c>
      <c r="K57">
        <v>10</v>
      </c>
      <c r="L57">
        <v>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56F94-7C8B-47D5-975E-DB2C57E2B91C}">
  <dimension ref="A1:R132"/>
  <sheetViews>
    <sheetView showGridLines="0" topLeftCell="C1" workbookViewId="0">
      <selection activeCell="K9" sqref="K9"/>
    </sheetView>
  </sheetViews>
  <sheetFormatPr defaultRowHeight="15"/>
  <cols>
    <col min="1" max="1" width="22.28515625" bestFit="1" customWidth="1"/>
    <col min="4" max="4" width="20.42578125" bestFit="1" customWidth="1"/>
    <col min="5" max="5" width="22.28515625" bestFit="1" customWidth="1"/>
    <col min="6" max="6" width="11.7109375" bestFit="1" customWidth="1"/>
    <col min="7" max="7" width="22.28515625" bestFit="1" customWidth="1"/>
    <col min="8" max="8" width="12.140625" bestFit="1" customWidth="1"/>
    <col min="9" max="9" width="11.7109375" bestFit="1" customWidth="1"/>
    <col min="10" max="10" width="22.28515625" bestFit="1" customWidth="1"/>
    <col min="11" max="11" width="10.5703125" bestFit="1" customWidth="1"/>
    <col min="12" max="12" width="13.85546875" bestFit="1" customWidth="1"/>
    <col min="13" max="13" width="22.28515625" bestFit="1" customWidth="1"/>
  </cols>
  <sheetData>
    <row r="1" spans="9:18" ht="15" customHeight="1">
      <c r="I1" s="125"/>
      <c r="J1" s="125"/>
      <c r="K1" s="125"/>
      <c r="L1" s="125"/>
      <c r="M1" s="125"/>
      <c r="N1" s="125"/>
      <c r="O1" s="125"/>
      <c r="P1" s="125"/>
      <c r="Q1" s="125"/>
      <c r="R1" s="125"/>
    </row>
    <row r="2" spans="9:18">
      <c r="I2" s="125"/>
      <c r="J2" s="125"/>
      <c r="K2" s="125"/>
      <c r="L2" s="125"/>
      <c r="M2" s="125"/>
      <c r="N2" s="125"/>
      <c r="O2" s="125"/>
      <c r="P2" s="125"/>
      <c r="Q2" s="125"/>
      <c r="R2" s="125"/>
    </row>
    <row r="3" spans="9:18">
      <c r="I3" s="125"/>
      <c r="J3" s="125"/>
      <c r="K3" s="125"/>
      <c r="L3" s="125"/>
      <c r="M3" s="125"/>
      <c r="N3" s="125"/>
      <c r="O3" s="125"/>
      <c r="P3" s="125"/>
      <c r="Q3" s="125"/>
      <c r="R3" s="125"/>
    </row>
    <row r="46" spans="1:1">
      <c r="A46" t="s">
        <v>130</v>
      </c>
    </row>
    <row r="47" spans="1:1">
      <c r="A47">
        <v>40</v>
      </c>
    </row>
    <row r="91" spans="4:5">
      <c r="D91" s="85" t="s">
        <v>57</v>
      </c>
      <c r="E91" t="s">
        <v>130</v>
      </c>
    </row>
    <row r="92" spans="4:5">
      <c r="D92" t="s">
        <v>58</v>
      </c>
      <c r="E92">
        <v>10</v>
      </c>
    </row>
    <row r="93" spans="4:5">
      <c r="D93" t="s">
        <v>59</v>
      </c>
      <c r="E93">
        <v>9</v>
      </c>
    </row>
    <row r="94" spans="4:5">
      <c r="D94" t="s">
        <v>60</v>
      </c>
      <c r="E94">
        <v>18</v>
      </c>
    </row>
    <row r="95" spans="4:5">
      <c r="D95" t="s">
        <v>61</v>
      </c>
      <c r="E95">
        <v>3</v>
      </c>
    </row>
    <row r="96" spans="4:5">
      <c r="D96" t="s">
        <v>56</v>
      </c>
      <c r="E96">
        <v>40</v>
      </c>
    </row>
    <row r="100" spans="6:13">
      <c r="J100" s="85" t="s">
        <v>130</v>
      </c>
      <c r="K100" s="85" t="s">
        <v>51</v>
      </c>
    </row>
    <row r="101" spans="6:13">
      <c r="F101" s="85" t="s">
        <v>51</v>
      </c>
      <c r="G101" t="s">
        <v>130</v>
      </c>
      <c r="J101" s="85" t="s">
        <v>57</v>
      </c>
      <c r="K101" t="s">
        <v>53</v>
      </c>
      <c r="L101" t="s">
        <v>54</v>
      </c>
      <c r="M101" t="s">
        <v>56</v>
      </c>
    </row>
    <row r="102" spans="6:13">
      <c r="F102" t="s">
        <v>53</v>
      </c>
      <c r="G102">
        <v>15</v>
      </c>
      <c r="J102" t="s">
        <v>58</v>
      </c>
      <c r="K102">
        <v>3</v>
      </c>
      <c r="L102">
        <v>7</v>
      </c>
      <c r="M102">
        <v>10</v>
      </c>
    </row>
    <row r="103" spans="6:13">
      <c r="F103" t="s">
        <v>54</v>
      </c>
      <c r="G103">
        <v>25</v>
      </c>
      <c r="J103" t="s">
        <v>59</v>
      </c>
      <c r="K103">
        <v>3</v>
      </c>
      <c r="L103">
        <v>6</v>
      </c>
      <c r="M103">
        <v>9</v>
      </c>
    </row>
    <row r="104" spans="6:13">
      <c r="F104" t="s">
        <v>56</v>
      </c>
      <c r="G104">
        <v>40</v>
      </c>
      <c r="J104" t="s">
        <v>60</v>
      </c>
      <c r="K104">
        <v>8</v>
      </c>
      <c r="L104">
        <v>10</v>
      </c>
      <c r="M104">
        <v>18</v>
      </c>
    </row>
    <row r="105" spans="6:13">
      <c r="J105" t="s">
        <v>61</v>
      </c>
      <c r="K105">
        <v>1</v>
      </c>
      <c r="L105">
        <v>2</v>
      </c>
      <c r="M105">
        <v>3</v>
      </c>
    </row>
    <row r="106" spans="6:13">
      <c r="J106" t="s">
        <v>56</v>
      </c>
      <c r="K106">
        <v>15</v>
      </c>
      <c r="L106">
        <v>25</v>
      </c>
      <c r="M106">
        <v>40</v>
      </c>
    </row>
    <row r="117" spans="5:13">
      <c r="E117" s="85" t="s">
        <v>130</v>
      </c>
      <c r="F117" s="85" t="s">
        <v>71</v>
      </c>
    </row>
    <row r="118" spans="5:13">
      <c r="E118" s="85" t="s">
        <v>57</v>
      </c>
      <c r="F118" t="s">
        <v>144</v>
      </c>
      <c r="G118" t="s">
        <v>146</v>
      </c>
      <c r="H118" t="s">
        <v>148</v>
      </c>
      <c r="I118" t="s">
        <v>56</v>
      </c>
    </row>
    <row r="119" spans="5:13">
      <c r="E119" t="s">
        <v>58</v>
      </c>
      <c r="F119">
        <v>5</v>
      </c>
      <c r="G119">
        <v>2</v>
      </c>
      <c r="H119">
        <v>3</v>
      </c>
      <c r="I119">
        <v>10</v>
      </c>
    </row>
    <row r="120" spans="5:13">
      <c r="E120" t="s">
        <v>59</v>
      </c>
      <c r="F120">
        <v>5</v>
      </c>
      <c r="G120">
        <v>3</v>
      </c>
      <c r="H120">
        <v>1</v>
      </c>
      <c r="I120">
        <v>9</v>
      </c>
    </row>
    <row r="121" spans="5:13">
      <c r="E121" t="s">
        <v>60</v>
      </c>
      <c r="F121">
        <v>10</v>
      </c>
      <c r="G121">
        <v>4</v>
      </c>
      <c r="H121">
        <v>4</v>
      </c>
      <c r="I121">
        <v>18</v>
      </c>
    </row>
    <row r="122" spans="5:13">
      <c r="E122" t="s">
        <v>61</v>
      </c>
      <c r="F122">
        <v>1</v>
      </c>
      <c r="H122">
        <v>2</v>
      </c>
      <c r="I122">
        <v>3</v>
      </c>
    </row>
    <row r="123" spans="5:13">
      <c r="E123" t="s">
        <v>56</v>
      </c>
      <c r="F123">
        <v>21</v>
      </c>
      <c r="G123">
        <v>9</v>
      </c>
      <c r="H123">
        <v>10</v>
      </c>
      <c r="I123">
        <v>40</v>
      </c>
      <c r="K123" s="85" t="s">
        <v>51</v>
      </c>
      <c r="L123" s="85" t="s">
        <v>71</v>
      </c>
      <c r="M123" t="s">
        <v>130</v>
      </c>
    </row>
    <row r="124" spans="5:13">
      <c r="K124" t="s">
        <v>53</v>
      </c>
      <c r="L124" t="s">
        <v>144</v>
      </c>
      <c r="M124">
        <v>4</v>
      </c>
    </row>
    <row r="125" spans="5:13">
      <c r="L125" t="s">
        <v>146</v>
      </c>
      <c r="M125">
        <v>5</v>
      </c>
    </row>
    <row r="126" spans="5:13">
      <c r="L126" t="s">
        <v>148</v>
      </c>
      <c r="M126">
        <v>6</v>
      </c>
    </row>
    <row r="127" spans="5:13">
      <c r="K127" t="s">
        <v>175</v>
      </c>
      <c r="M127">
        <v>15</v>
      </c>
    </row>
    <row r="128" spans="5:13">
      <c r="K128" t="s">
        <v>54</v>
      </c>
      <c r="L128" t="s">
        <v>144</v>
      </c>
      <c r="M128">
        <v>17</v>
      </c>
    </row>
    <row r="129" spans="11:13">
      <c r="L129" t="s">
        <v>146</v>
      </c>
      <c r="M129">
        <v>4</v>
      </c>
    </row>
    <row r="130" spans="11:13">
      <c r="L130" t="s">
        <v>148</v>
      </c>
      <c r="M130">
        <v>4</v>
      </c>
    </row>
    <row r="131" spans="11:13">
      <c r="K131" t="s">
        <v>176</v>
      </c>
      <c r="M131">
        <v>25</v>
      </c>
    </row>
    <row r="132" spans="11:13">
      <c r="K132" t="s">
        <v>56</v>
      </c>
      <c r="M132">
        <v>40</v>
      </c>
    </row>
  </sheetData>
  <mergeCells count="1">
    <mergeCell ref="I1:R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77DA-856A-46EB-BE23-CBC6CCB19F2B}">
  <dimension ref="B5:N100"/>
  <sheetViews>
    <sheetView workbookViewId="0">
      <selection activeCell="E11" sqref="E11"/>
    </sheetView>
  </sheetViews>
  <sheetFormatPr defaultRowHeight="15"/>
  <cols>
    <col min="7" max="7" width="21" bestFit="1" customWidth="1"/>
    <col min="8" max="8" width="22.28515625" bestFit="1" customWidth="1"/>
    <col min="9" max="9" width="21.5703125" bestFit="1" customWidth="1"/>
    <col min="10" max="10" width="11" bestFit="1" customWidth="1"/>
    <col min="11" max="11" width="15.5703125" bestFit="1" customWidth="1"/>
    <col min="12" max="12" width="12.5703125" bestFit="1" customWidth="1"/>
    <col min="13" max="13" width="21" bestFit="1" customWidth="1"/>
    <col min="14" max="14" width="11.7109375" bestFit="1" customWidth="1"/>
  </cols>
  <sheetData>
    <row r="5" spans="2:9">
      <c r="B5" t="s">
        <v>177</v>
      </c>
      <c r="G5" s="98" t="s">
        <v>178</v>
      </c>
    </row>
    <row r="7" spans="2:9">
      <c r="B7" t="s">
        <v>179</v>
      </c>
      <c r="G7" s="85" t="s">
        <v>72</v>
      </c>
      <c r="H7" t="s">
        <v>130</v>
      </c>
    </row>
    <row r="8" spans="2:9">
      <c r="G8" t="s">
        <v>180</v>
      </c>
      <c r="H8">
        <v>10</v>
      </c>
    </row>
    <row r="9" spans="2:9">
      <c r="G9" t="s">
        <v>154</v>
      </c>
      <c r="H9">
        <v>12</v>
      </c>
    </row>
    <row r="10" spans="2:9">
      <c r="G10" t="s">
        <v>181</v>
      </c>
      <c r="H10">
        <v>18</v>
      </c>
    </row>
    <row r="11" spans="2:9">
      <c r="G11" t="s">
        <v>56</v>
      </c>
      <c r="H11">
        <v>40</v>
      </c>
    </row>
    <row r="13" spans="2:9">
      <c r="B13" t="s">
        <v>182</v>
      </c>
      <c r="G13" s="97" t="s">
        <v>183</v>
      </c>
      <c r="H13" s="97" t="s">
        <v>184</v>
      </c>
      <c r="I13" s="97" t="s">
        <v>185</v>
      </c>
    </row>
    <row r="14" spans="2:9">
      <c r="G14" t="s">
        <v>186</v>
      </c>
      <c r="H14" s="86">
        <v>0.1</v>
      </c>
      <c r="I14">
        <f>100000*(1+10%)</f>
        <v>110000.00000000001</v>
      </c>
    </row>
    <row r="15" spans="2:9">
      <c r="G15" t="s">
        <v>186</v>
      </c>
      <c r="H15" s="86">
        <v>0.2</v>
      </c>
      <c r="I15">
        <f>100000*(1+20%)</f>
        <v>120000</v>
      </c>
    </row>
    <row r="16" spans="2:9">
      <c r="G16" t="s">
        <v>186</v>
      </c>
      <c r="H16" s="86">
        <v>0.3</v>
      </c>
      <c r="I16">
        <f>100000*(1+30%)</f>
        <v>130000</v>
      </c>
    </row>
    <row r="17" spans="2:14">
      <c r="G17" t="s">
        <v>186</v>
      </c>
      <c r="H17" s="86">
        <v>0.4</v>
      </c>
      <c r="I17">
        <f>100000*(1+40%)</f>
        <v>140000</v>
      </c>
    </row>
    <row r="18" spans="2:14">
      <c r="G18" t="s">
        <v>187</v>
      </c>
    </row>
    <row r="22" spans="2:14">
      <c r="B22" t="s">
        <v>188</v>
      </c>
    </row>
    <row r="23" spans="2:14">
      <c r="G23" s="85" t="s">
        <v>71</v>
      </c>
      <c r="H23" s="85" t="s">
        <v>84</v>
      </c>
      <c r="I23" s="85" t="s">
        <v>57</v>
      </c>
      <c r="J23" t="s">
        <v>130</v>
      </c>
      <c r="L23" s="97" t="s">
        <v>189</v>
      </c>
      <c r="M23" s="97" t="s">
        <v>84</v>
      </c>
      <c r="N23" s="97" t="s">
        <v>190</v>
      </c>
    </row>
    <row r="24" spans="2:14">
      <c r="G24" t="s">
        <v>144</v>
      </c>
      <c r="H24" t="s">
        <v>96</v>
      </c>
      <c r="I24" t="s">
        <v>58</v>
      </c>
      <c r="J24">
        <v>5</v>
      </c>
      <c r="L24" t="s">
        <v>144</v>
      </c>
      <c r="M24" t="s">
        <v>96</v>
      </c>
      <c r="N24" s="97" t="s">
        <v>191</v>
      </c>
    </row>
    <row r="25" spans="2:14">
      <c r="I25" t="s">
        <v>59</v>
      </c>
      <c r="J25">
        <v>3</v>
      </c>
      <c r="L25" t="s">
        <v>144</v>
      </c>
      <c r="M25" t="s">
        <v>126</v>
      </c>
      <c r="N25" s="97" t="s">
        <v>192</v>
      </c>
    </row>
    <row r="26" spans="2:14">
      <c r="I26" t="s">
        <v>60</v>
      </c>
      <c r="J26">
        <v>8</v>
      </c>
      <c r="L26" t="s">
        <v>146</v>
      </c>
      <c r="M26" t="s">
        <v>96</v>
      </c>
      <c r="N26" s="98" t="s">
        <v>193</v>
      </c>
    </row>
    <row r="27" spans="2:14">
      <c r="I27" t="s">
        <v>61</v>
      </c>
      <c r="J27">
        <v>1</v>
      </c>
      <c r="L27" t="s">
        <v>146</v>
      </c>
      <c r="M27" t="s">
        <v>126</v>
      </c>
      <c r="N27" s="97" t="s">
        <v>194</v>
      </c>
    </row>
    <row r="28" spans="2:14">
      <c r="H28" t="s">
        <v>195</v>
      </c>
      <c r="J28">
        <v>17</v>
      </c>
      <c r="L28" t="s">
        <v>146</v>
      </c>
      <c r="M28" t="s">
        <v>116</v>
      </c>
      <c r="N28" s="97" t="s">
        <v>196</v>
      </c>
    </row>
    <row r="29" spans="2:14">
      <c r="H29" t="s">
        <v>126</v>
      </c>
      <c r="I29" t="s">
        <v>59</v>
      </c>
      <c r="J29">
        <v>2</v>
      </c>
      <c r="L29" t="s">
        <v>148</v>
      </c>
      <c r="M29" t="s">
        <v>96</v>
      </c>
      <c r="N29" s="97" t="s">
        <v>197</v>
      </c>
    </row>
    <row r="30" spans="2:14">
      <c r="I30" t="s">
        <v>60</v>
      </c>
      <c r="J30">
        <v>2</v>
      </c>
      <c r="L30" t="s">
        <v>148</v>
      </c>
      <c r="M30" t="s">
        <v>126</v>
      </c>
      <c r="N30" s="97" t="s">
        <v>198</v>
      </c>
    </row>
    <row r="31" spans="2:14">
      <c r="H31" t="s">
        <v>199</v>
      </c>
      <c r="J31">
        <v>4</v>
      </c>
      <c r="L31" t="s">
        <v>148</v>
      </c>
      <c r="M31" t="s">
        <v>116</v>
      </c>
      <c r="N31" s="97" t="s">
        <v>200</v>
      </c>
    </row>
    <row r="32" spans="2:14">
      <c r="G32" t="s">
        <v>145</v>
      </c>
      <c r="J32">
        <v>21</v>
      </c>
    </row>
    <row r="33" spans="7:10">
      <c r="G33" t="s">
        <v>146</v>
      </c>
      <c r="H33" t="s">
        <v>96</v>
      </c>
      <c r="I33" t="s">
        <v>59</v>
      </c>
      <c r="J33">
        <v>2</v>
      </c>
    </row>
    <row r="34" spans="7:10">
      <c r="I34" t="s">
        <v>60</v>
      </c>
      <c r="J34">
        <v>1</v>
      </c>
    </row>
    <row r="35" spans="7:10">
      <c r="H35" t="s">
        <v>195</v>
      </c>
      <c r="J35">
        <v>3</v>
      </c>
    </row>
    <row r="36" spans="7:10">
      <c r="H36" t="s">
        <v>126</v>
      </c>
      <c r="I36" t="s">
        <v>58</v>
      </c>
      <c r="J36">
        <v>2</v>
      </c>
    </row>
    <row r="37" spans="7:10">
      <c r="I37" t="s">
        <v>59</v>
      </c>
      <c r="J37">
        <v>1</v>
      </c>
    </row>
    <row r="38" spans="7:10">
      <c r="I38" t="s">
        <v>60</v>
      </c>
      <c r="J38">
        <v>2</v>
      </c>
    </row>
    <row r="39" spans="7:10">
      <c r="H39" t="s">
        <v>199</v>
      </c>
      <c r="J39">
        <v>5</v>
      </c>
    </row>
    <row r="40" spans="7:10">
      <c r="H40" t="s">
        <v>116</v>
      </c>
      <c r="I40" t="s">
        <v>60</v>
      </c>
      <c r="J40">
        <v>1</v>
      </c>
    </row>
    <row r="41" spans="7:10">
      <c r="H41" t="s">
        <v>201</v>
      </c>
      <c r="J41">
        <v>1</v>
      </c>
    </row>
    <row r="42" spans="7:10">
      <c r="G42" t="s">
        <v>147</v>
      </c>
      <c r="J42">
        <v>9</v>
      </c>
    </row>
    <row r="43" spans="7:10">
      <c r="G43" t="s">
        <v>148</v>
      </c>
      <c r="H43" t="s">
        <v>96</v>
      </c>
      <c r="I43" t="s">
        <v>58</v>
      </c>
      <c r="J43">
        <v>1</v>
      </c>
    </row>
    <row r="44" spans="7:10">
      <c r="I44" t="s">
        <v>59</v>
      </c>
      <c r="J44">
        <v>1</v>
      </c>
    </row>
    <row r="45" spans="7:10">
      <c r="I45" t="s">
        <v>60</v>
      </c>
      <c r="J45">
        <v>4</v>
      </c>
    </row>
    <row r="46" spans="7:10">
      <c r="H46" t="s">
        <v>195</v>
      </c>
      <c r="J46">
        <v>6</v>
      </c>
    </row>
    <row r="47" spans="7:10">
      <c r="H47" t="s">
        <v>126</v>
      </c>
      <c r="I47" t="s">
        <v>61</v>
      </c>
      <c r="J47">
        <v>2</v>
      </c>
    </row>
    <row r="48" spans="7:10">
      <c r="H48" t="s">
        <v>199</v>
      </c>
      <c r="J48">
        <v>2</v>
      </c>
    </row>
    <row r="49" spans="2:10">
      <c r="H49" t="s">
        <v>116</v>
      </c>
      <c r="I49" t="s">
        <v>58</v>
      </c>
      <c r="J49">
        <v>2</v>
      </c>
    </row>
    <row r="50" spans="2:10">
      <c r="H50" t="s">
        <v>201</v>
      </c>
      <c r="J50">
        <v>2</v>
      </c>
    </row>
    <row r="51" spans="2:10">
      <c r="G51" t="s">
        <v>149</v>
      </c>
      <c r="J51">
        <v>10</v>
      </c>
    </row>
    <row r="52" spans="2:10">
      <c r="G52" t="s">
        <v>56</v>
      </c>
      <c r="J52">
        <v>40</v>
      </c>
    </row>
    <row r="56" spans="2:10">
      <c r="B56" t="s">
        <v>202</v>
      </c>
    </row>
    <row r="57" spans="2:10">
      <c r="G57" s="85" t="s">
        <v>73</v>
      </c>
      <c r="H57" t="s">
        <v>130</v>
      </c>
    </row>
    <row r="58" spans="2:10">
      <c r="G58" t="s">
        <v>203</v>
      </c>
      <c r="H58">
        <v>10</v>
      </c>
    </row>
    <row r="59" spans="2:10">
      <c r="G59" t="s">
        <v>204</v>
      </c>
      <c r="H59">
        <v>18</v>
      </c>
    </row>
    <row r="60" spans="2:10">
      <c r="G60" t="s">
        <v>205</v>
      </c>
      <c r="H60">
        <v>12</v>
      </c>
    </row>
    <row r="61" spans="2:10">
      <c r="G61" t="s">
        <v>56</v>
      </c>
      <c r="H61">
        <v>40</v>
      </c>
    </row>
    <row r="70" spans="2:14">
      <c r="B70" t="s">
        <v>206</v>
      </c>
      <c r="H70" s="98" t="s">
        <v>178</v>
      </c>
    </row>
    <row r="72" spans="2:14">
      <c r="B72" t="s">
        <v>207</v>
      </c>
      <c r="H72" s="85" t="s">
        <v>130</v>
      </c>
      <c r="J72" s="85" t="s">
        <v>57</v>
      </c>
    </row>
    <row r="73" spans="2:14">
      <c r="H73" s="85" t="s">
        <v>89</v>
      </c>
      <c r="I73" s="85" t="s">
        <v>90</v>
      </c>
      <c r="J73" t="s">
        <v>58</v>
      </c>
      <c r="K73" t="s">
        <v>59</v>
      </c>
      <c r="L73" t="s">
        <v>60</v>
      </c>
      <c r="M73" t="s">
        <v>61</v>
      </c>
      <c r="N73" t="s">
        <v>56</v>
      </c>
    </row>
    <row r="74" spans="2:14">
      <c r="H74" t="s">
        <v>96</v>
      </c>
      <c r="I74" t="s">
        <v>101</v>
      </c>
      <c r="J74">
        <v>5</v>
      </c>
      <c r="K74">
        <v>2</v>
      </c>
      <c r="L74">
        <v>9</v>
      </c>
      <c r="M74">
        <v>2</v>
      </c>
      <c r="N74">
        <v>18</v>
      </c>
    </row>
    <row r="75" spans="2:14">
      <c r="I75" t="s">
        <v>119</v>
      </c>
      <c r="J75">
        <v>2</v>
      </c>
      <c r="K75">
        <v>4</v>
      </c>
      <c r="L75">
        <v>3</v>
      </c>
      <c r="N75">
        <v>9</v>
      </c>
    </row>
    <row r="76" spans="2:14">
      <c r="I76" t="s">
        <v>113</v>
      </c>
      <c r="J76">
        <v>1</v>
      </c>
      <c r="L76">
        <v>2</v>
      </c>
      <c r="N76">
        <v>3</v>
      </c>
    </row>
    <row r="77" spans="2:14">
      <c r="H77" t="s">
        <v>195</v>
      </c>
      <c r="J77">
        <v>8</v>
      </c>
      <c r="K77">
        <v>6</v>
      </c>
      <c r="L77">
        <v>14</v>
      </c>
      <c r="M77">
        <v>2</v>
      </c>
      <c r="N77">
        <v>30</v>
      </c>
    </row>
    <row r="78" spans="2:14">
      <c r="H78" t="s">
        <v>109</v>
      </c>
      <c r="I78" t="s">
        <v>101</v>
      </c>
      <c r="K78">
        <v>3</v>
      </c>
      <c r="L78">
        <v>2</v>
      </c>
      <c r="N78">
        <v>5</v>
      </c>
    </row>
    <row r="79" spans="2:14">
      <c r="I79" t="s">
        <v>119</v>
      </c>
      <c r="J79">
        <v>2</v>
      </c>
      <c r="L79">
        <v>1</v>
      </c>
      <c r="N79">
        <v>3</v>
      </c>
    </row>
    <row r="80" spans="2:14">
      <c r="H80" t="s">
        <v>208</v>
      </c>
      <c r="J80">
        <v>2</v>
      </c>
      <c r="K80">
        <v>3</v>
      </c>
      <c r="L80">
        <v>3</v>
      </c>
      <c r="N80">
        <v>8</v>
      </c>
    </row>
    <row r="81" spans="2:14">
      <c r="H81" t="s">
        <v>125</v>
      </c>
      <c r="I81" t="s">
        <v>101</v>
      </c>
      <c r="M81">
        <v>1</v>
      </c>
      <c r="N81">
        <v>1</v>
      </c>
    </row>
    <row r="82" spans="2:14">
      <c r="I82" t="s">
        <v>119</v>
      </c>
      <c r="L82">
        <v>1</v>
      </c>
      <c r="N82">
        <v>1</v>
      </c>
    </row>
    <row r="83" spans="2:14">
      <c r="H83" t="s">
        <v>209</v>
      </c>
      <c r="L83">
        <v>1</v>
      </c>
      <c r="M83">
        <v>1</v>
      </c>
      <c r="N83">
        <v>2</v>
      </c>
    </row>
    <row r="84" spans="2:14">
      <c r="H84" t="s">
        <v>56</v>
      </c>
      <c r="J84">
        <v>10</v>
      </c>
      <c r="K84">
        <v>9</v>
      </c>
      <c r="L84">
        <v>18</v>
      </c>
      <c r="M84">
        <v>3</v>
      </c>
      <c r="N84">
        <v>40</v>
      </c>
    </row>
    <row r="86" spans="2:14">
      <c r="H86" s="126" t="s">
        <v>210</v>
      </c>
      <c r="I86" s="126"/>
      <c r="J86" s="126"/>
      <c r="K86" s="126"/>
      <c r="L86" s="126"/>
      <c r="M86" s="126"/>
    </row>
    <row r="90" spans="2:14">
      <c r="B90" t="s">
        <v>211</v>
      </c>
      <c r="H90" s="97" t="s">
        <v>212</v>
      </c>
      <c r="I90" s="97" t="s">
        <v>183</v>
      </c>
      <c r="J90" s="97" t="s">
        <v>213</v>
      </c>
      <c r="K90" s="97" t="s">
        <v>214</v>
      </c>
    </row>
    <row r="91" spans="2:14">
      <c r="H91" t="s">
        <v>215</v>
      </c>
      <c r="I91" s="100">
        <v>100000</v>
      </c>
      <c r="J91" s="86">
        <v>0.1</v>
      </c>
      <c r="K91">
        <f>I91*(1+J91)</f>
        <v>110000.00000000001</v>
      </c>
    </row>
    <row r="92" spans="2:14">
      <c r="H92" t="s">
        <v>216</v>
      </c>
      <c r="I92" s="100">
        <v>100000</v>
      </c>
      <c r="J92" s="86">
        <v>0.2</v>
      </c>
      <c r="K92">
        <f t="shared" ref="K92:K93" si="0">I92*(1+J92)</f>
        <v>120000</v>
      </c>
    </row>
    <row r="93" spans="2:14">
      <c r="H93" t="s">
        <v>217</v>
      </c>
      <c r="I93" s="100">
        <v>100000</v>
      </c>
      <c r="J93" s="86">
        <v>0.3</v>
      </c>
      <c r="K93">
        <f t="shared" si="0"/>
        <v>130000</v>
      </c>
    </row>
    <row r="94" spans="2:14">
      <c r="H94" t="s">
        <v>218</v>
      </c>
    </row>
    <row r="100" spans="2:8">
      <c r="B100" t="s">
        <v>219</v>
      </c>
      <c r="H100" s="98" t="s">
        <v>178</v>
      </c>
    </row>
  </sheetData>
  <mergeCells count="1">
    <mergeCell ref="H86:M86"/>
  </mergeCells>
  <pageMargins left="0.7" right="0.7" top="0.75" bottom="0.75" header="0.3" footer="0.3"/>
  <drawing r:id="rId5"/>
  <tableParts count="3">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3260-5BA7-4412-A7D1-FFAB9A5CDE70}">
  <dimension ref="B2:I14"/>
  <sheetViews>
    <sheetView workbookViewId="0">
      <selection activeCell="I10" sqref="I10"/>
    </sheetView>
  </sheetViews>
  <sheetFormatPr defaultRowHeight="15"/>
  <cols>
    <col min="2" max="2" width="13.85546875" bestFit="1" customWidth="1"/>
    <col min="3" max="3" width="15.5703125" bestFit="1" customWidth="1"/>
    <col min="4" max="4" width="19.140625" bestFit="1" customWidth="1"/>
    <col min="5" max="5" width="20.42578125" bestFit="1" customWidth="1"/>
    <col min="6" max="6" width="12.85546875" bestFit="1" customWidth="1"/>
    <col min="8" max="8" width="25.7109375" bestFit="1" customWidth="1"/>
    <col min="9" max="9" width="19.140625" bestFit="1" customWidth="1"/>
  </cols>
  <sheetData>
    <row r="2" spans="2:9">
      <c r="B2" s="97" t="s">
        <v>189</v>
      </c>
      <c r="C2" s="97" t="s">
        <v>72</v>
      </c>
      <c r="D2" s="97" t="s">
        <v>84</v>
      </c>
      <c r="E2" s="97" t="s">
        <v>220</v>
      </c>
      <c r="H2" s="97" t="s">
        <v>221</v>
      </c>
      <c r="I2" s="97" t="s">
        <v>222</v>
      </c>
    </row>
    <row r="3" spans="2:9">
      <c r="B3" t="s">
        <v>148</v>
      </c>
      <c r="C3" t="s">
        <v>180</v>
      </c>
      <c r="D3" t="s">
        <v>96</v>
      </c>
      <c r="E3" t="s">
        <v>58</v>
      </c>
      <c r="H3" t="s">
        <v>189</v>
      </c>
      <c r="I3" t="s">
        <v>144</v>
      </c>
    </row>
    <row r="4" spans="2:9">
      <c r="B4" t="s">
        <v>148</v>
      </c>
      <c r="C4" t="s">
        <v>181</v>
      </c>
      <c r="D4" t="s">
        <v>126</v>
      </c>
      <c r="E4" t="s">
        <v>60</v>
      </c>
      <c r="H4" t="s">
        <v>72</v>
      </c>
      <c r="I4" t="s">
        <v>181</v>
      </c>
    </row>
    <row r="5" spans="2:9">
      <c r="B5" t="s">
        <v>148</v>
      </c>
      <c r="C5" t="s">
        <v>154</v>
      </c>
      <c r="D5" t="s">
        <v>116</v>
      </c>
      <c r="E5" t="s">
        <v>61</v>
      </c>
      <c r="H5" t="s">
        <v>84</v>
      </c>
      <c r="I5" t="s">
        <v>116</v>
      </c>
    </row>
    <row r="6" spans="2:9">
      <c r="B6" t="s">
        <v>144</v>
      </c>
      <c r="C6" t="s">
        <v>180</v>
      </c>
      <c r="D6" t="s">
        <v>96</v>
      </c>
      <c r="E6" t="s">
        <v>58</v>
      </c>
    </row>
    <row r="7" spans="2:9">
      <c r="B7" t="s">
        <v>144</v>
      </c>
      <c r="C7" t="s">
        <v>180</v>
      </c>
      <c r="D7" t="s">
        <v>126</v>
      </c>
      <c r="E7" t="s">
        <v>58</v>
      </c>
      <c r="F7" s="97"/>
      <c r="G7" s="97"/>
      <c r="H7" s="97" t="s">
        <v>223</v>
      </c>
      <c r="I7" t="str" cm="1">
        <f t="array" ref="I7">_xlfn.XLOOKUP(I3&amp;I4&amp;I5,B3:B14&amp;C3:C14&amp;D3:D14,E3:E14,"No Recommendation")</f>
        <v>No Recommendation</v>
      </c>
    </row>
    <row r="8" spans="2:9">
      <c r="B8" t="s">
        <v>144</v>
      </c>
      <c r="C8" t="s">
        <v>181</v>
      </c>
      <c r="D8" t="s">
        <v>96</v>
      </c>
      <c r="E8" t="s">
        <v>60</v>
      </c>
      <c r="H8" s="97"/>
      <c r="I8" s="99"/>
    </row>
    <row r="9" spans="2:9">
      <c r="B9" t="s">
        <v>144</v>
      </c>
      <c r="C9" t="s">
        <v>181</v>
      </c>
      <c r="D9" t="s">
        <v>126</v>
      </c>
      <c r="E9" t="s">
        <v>60</v>
      </c>
    </row>
    <row r="10" spans="2:9">
      <c r="B10" t="s">
        <v>144</v>
      </c>
      <c r="C10" t="s">
        <v>154</v>
      </c>
      <c r="D10" t="s">
        <v>116</v>
      </c>
      <c r="E10" t="s">
        <v>59</v>
      </c>
    </row>
    <row r="11" spans="2:9">
      <c r="B11" t="s">
        <v>146</v>
      </c>
      <c r="C11" t="s">
        <v>180</v>
      </c>
      <c r="D11" t="s">
        <v>126</v>
      </c>
      <c r="E11" t="s">
        <v>58</v>
      </c>
    </row>
    <row r="12" spans="2:9">
      <c r="B12" t="s">
        <v>146</v>
      </c>
      <c r="C12" t="s">
        <v>181</v>
      </c>
      <c r="D12" t="s">
        <v>126</v>
      </c>
      <c r="E12" t="s">
        <v>60</v>
      </c>
    </row>
    <row r="13" spans="2:9">
      <c r="B13" t="s">
        <v>146</v>
      </c>
      <c r="C13" t="s">
        <v>154</v>
      </c>
      <c r="D13" t="s">
        <v>116</v>
      </c>
      <c r="E13" t="s">
        <v>59</v>
      </c>
    </row>
    <row r="14" spans="2:9">
      <c r="B14" t="s">
        <v>146</v>
      </c>
      <c r="C14" t="s">
        <v>154</v>
      </c>
      <c r="D14" t="s">
        <v>96</v>
      </c>
      <c r="E14" t="s">
        <v>61</v>
      </c>
    </row>
  </sheetData>
  <dataValidations count="4">
    <dataValidation type="list" allowBlank="1" showInputMessage="1" showErrorMessage="1" sqref="I3" xr:uid="{81F72A03-E459-4464-B305-7E9FD02697A7}">
      <formula1>$B$3:$B$14</formula1>
    </dataValidation>
    <dataValidation type="list" allowBlank="1" showInputMessage="1" showErrorMessage="1" sqref="I4" xr:uid="{F32F170E-5084-4C38-A490-B0E624A879DD}">
      <formula1>$C$3:$C$14</formula1>
    </dataValidation>
    <dataValidation type="list" allowBlank="1" showInputMessage="1" showErrorMessage="1" sqref="I5" xr:uid="{090BEA03-C7DD-484C-9565-1EC31CBAC2F4}">
      <formula1>$D$3:$D$14</formula1>
    </dataValidation>
    <dataValidation allowBlank="1" showInputMessage="1" showErrorMessage="1" sqref="I7" xr:uid="{FFC02963-59AF-4705-8FD9-CBB724A31E08}"/>
  </dataValidations>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4DAC-878F-4F99-9707-C15D0E089F54}">
  <dimension ref="B3:J23"/>
  <sheetViews>
    <sheetView workbookViewId="0">
      <selection activeCell="H29" sqref="H29"/>
    </sheetView>
  </sheetViews>
  <sheetFormatPr defaultRowHeight="15"/>
  <sheetData>
    <row r="3" spans="2:8" ht="23.25">
      <c r="B3" s="105" t="s">
        <v>224</v>
      </c>
      <c r="C3" s="106"/>
      <c r="D3" s="106"/>
    </row>
    <row r="4" spans="2:8" ht="18">
      <c r="B4" s="101" t="s">
        <v>225</v>
      </c>
    </row>
    <row r="5" spans="2:8">
      <c r="B5" t="s">
        <v>226</v>
      </c>
    </row>
    <row r="6" spans="2:8" ht="18">
      <c r="B6" s="103" t="s">
        <v>227</v>
      </c>
      <c r="C6" s="104"/>
      <c r="D6" s="102"/>
      <c r="E6" s="102"/>
      <c r="F6" s="102"/>
      <c r="G6" s="102"/>
      <c r="H6" s="102"/>
    </row>
    <row r="7" spans="2:8">
      <c r="B7" s="102" t="s">
        <v>228</v>
      </c>
      <c r="C7" s="102"/>
      <c r="D7" s="102"/>
      <c r="E7" s="102"/>
      <c r="F7" s="102"/>
      <c r="G7" s="102"/>
      <c r="H7" s="102"/>
    </row>
    <row r="8" spans="2:8">
      <c r="B8" s="102" t="s">
        <v>229</v>
      </c>
      <c r="C8" s="102"/>
      <c r="D8" s="102"/>
      <c r="E8" s="102"/>
      <c r="F8" s="102"/>
      <c r="G8" s="102"/>
      <c r="H8" s="102"/>
    </row>
    <row r="9" spans="2:8">
      <c r="B9" s="102" t="s">
        <v>230</v>
      </c>
      <c r="C9" s="102"/>
      <c r="D9" s="102"/>
      <c r="E9" s="102"/>
      <c r="F9" s="102"/>
      <c r="G9" s="102"/>
      <c r="H9" s="102"/>
    </row>
    <row r="10" spans="2:8">
      <c r="B10" s="102" t="s">
        <v>231</v>
      </c>
      <c r="C10" s="102"/>
      <c r="D10" s="102"/>
      <c r="E10" s="102"/>
      <c r="F10" s="102"/>
      <c r="G10" s="102"/>
      <c r="H10" s="102"/>
    </row>
    <row r="11" spans="2:8">
      <c r="B11" s="102" t="s">
        <v>232</v>
      </c>
      <c r="C11" s="102"/>
      <c r="D11" s="102"/>
      <c r="E11" s="102"/>
      <c r="F11" s="102"/>
      <c r="G11" s="102"/>
      <c r="H11" s="102"/>
    </row>
    <row r="12" spans="2:8">
      <c r="B12" s="102" t="s">
        <v>233</v>
      </c>
      <c r="C12" s="102"/>
      <c r="D12" s="102"/>
      <c r="E12" s="102"/>
      <c r="F12" s="102"/>
      <c r="G12" s="102"/>
      <c r="H12" s="102"/>
    </row>
    <row r="13" spans="2:8">
      <c r="B13" s="102" t="s">
        <v>234</v>
      </c>
      <c r="C13" s="102"/>
      <c r="D13" s="102"/>
      <c r="E13" s="102"/>
      <c r="F13" s="102"/>
      <c r="G13" s="102"/>
      <c r="H13" s="102"/>
    </row>
    <row r="14" spans="2:8">
      <c r="B14" s="102" t="s">
        <v>235</v>
      </c>
      <c r="C14" s="102"/>
      <c r="D14" s="102"/>
      <c r="E14" s="102"/>
      <c r="F14" s="102"/>
      <c r="G14" s="102"/>
      <c r="H14" s="102"/>
    </row>
    <row r="15" spans="2:8">
      <c r="B15" s="102" t="s">
        <v>236</v>
      </c>
      <c r="C15" s="102"/>
      <c r="D15" s="102"/>
      <c r="E15" s="102"/>
      <c r="F15" s="102"/>
      <c r="G15" s="102"/>
      <c r="H15" s="102"/>
    </row>
    <row r="16" spans="2:8">
      <c r="B16" s="102" t="s">
        <v>237</v>
      </c>
      <c r="C16" s="102"/>
      <c r="D16" s="102"/>
      <c r="E16" s="102"/>
      <c r="F16" s="102"/>
      <c r="G16" s="102"/>
      <c r="H16" s="102"/>
    </row>
    <row r="17" spans="2:10" ht="18">
      <c r="B17" s="107" t="s">
        <v>238</v>
      </c>
      <c r="C17" s="108"/>
    </row>
    <row r="18" spans="2:10">
      <c r="B18" s="109" t="s">
        <v>239</v>
      </c>
      <c r="C18" s="109"/>
      <c r="D18" s="109"/>
      <c r="E18" s="109"/>
      <c r="F18" s="109"/>
      <c r="G18" s="109"/>
      <c r="H18" s="109"/>
      <c r="I18" s="109"/>
      <c r="J18" s="109"/>
    </row>
    <row r="19" spans="2:10">
      <c r="B19" s="109" t="s">
        <v>240</v>
      </c>
      <c r="C19" s="109"/>
      <c r="D19" s="109"/>
      <c r="E19" s="109"/>
      <c r="F19" s="109"/>
      <c r="G19" s="109"/>
      <c r="H19" s="109"/>
      <c r="I19" s="109"/>
      <c r="J19" s="109"/>
    </row>
    <row r="20" spans="2:10">
      <c r="B20" s="109" t="s">
        <v>241</v>
      </c>
      <c r="C20" s="109"/>
      <c r="D20" s="109"/>
      <c r="E20" s="109"/>
      <c r="F20" s="109"/>
      <c r="G20" s="109"/>
      <c r="H20" s="109"/>
      <c r="I20" s="109"/>
      <c r="J20" s="109"/>
    </row>
    <row r="21" spans="2:10">
      <c r="B21" s="109" t="s">
        <v>242</v>
      </c>
      <c r="C21" s="109"/>
      <c r="D21" s="109"/>
      <c r="E21" s="109"/>
      <c r="F21" s="109"/>
      <c r="G21" s="109"/>
      <c r="H21" s="109"/>
      <c r="I21" s="109"/>
      <c r="J21" s="109"/>
    </row>
    <row r="22" spans="2:10" ht="18">
      <c r="B22" s="110" t="s">
        <v>243</v>
      </c>
    </row>
    <row r="23" spans="2:10">
      <c r="B23" s="97"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Jha</dc:creator>
  <cp:keywords/>
  <dc:description/>
  <cp:lastModifiedBy/>
  <cp:revision/>
  <dcterms:created xsi:type="dcterms:W3CDTF">2023-06-15T04:20:27Z</dcterms:created>
  <dcterms:modified xsi:type="dcterms:W3CDTF">2026-07-01T20:37:26Z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5487c9-99ed-4cbc-93a8-0e9b1796bde5_Enabled">
    <vt:lpwstr>true</vt:lpwstr>
  </property>
  <property fmtid="{D5CDD505-2E9C-101B-9397-08002B2CF9AE}" pid="3" name="MSIP_Label_e65487c9-99ed-4cbc-93a8-0e9b1796bde5_SetDate">
    <vt:lpwstr>2026-06-24T23:09:45Z</vt:lpwstr>
  </property>
  <property fmtid="{D5CDD505-2E9C-101B-9397-08002B2CF9AE}" pid="4" name="MSIP_Label_e65487c9-99ed-4cbc-93a8-0e9b1796bde5_Method">
    <vt:lpwstr>Standard</vt:lpwstr>
  </property>
  <property fmtid="{D5CDD505-2E9C-101B-9397-08002B2CF9AE}" pid="5" name="MSIP_Label_e65487c9-99ed-4cbc-93a8-0e9b1796bde5_Name">
    <vt:lpwstr>defa4170-0d19-0005-0004-bc88714345d2</vt:lpwstr>
  </property>
  <property fmtid="{D5CDD505-2E9C-101B-9397-08002B2CF9AE}" pid="6" name="MSIP_Label_e65487c9-99ed-4cbc-93a8-0e9b1796bde5_SiteId">
    <vt:lpwstr>03cb5f0c-1f82-4993-9621-36330f6309ec</vt:lpwstr>
  </property>
  <property fmtid="{D5CDD505-2E9C-101B-9397-08002B2CF9AE}" pid="7" name="MSIP_Label_e65487c9-99ed-4cbc-93a8-0e9b1796bde5_ActionId">
    <vt:lpwstr>a611af78-56a6-4bf9-9752-5ed79eb33e31</vt:lpwstr>
  </property>
  <property fmtid="{D5CDD505-2E9C-101B-9397-08002B2CF9AE}" pid="8" name="MSIP_Label_e65487c9-99ed-4cbc-93a8-0e9b1796bde5_ContentBits">
    <vt:lpwstr>0</vt:lpwstr>
  </property>
  <property fmtid="{D5CDD505-2E9C-101B-9397-08002B2CF9AE}" pid="9" name="MSIP_Label_e65487c9-99ed-4cbc-93a8-0e9b1796bde5_Tag">
    <vt:lpwstr>10, 3, 0, 2</vt:lpwstr>
  </property>
</Properties>
</file>